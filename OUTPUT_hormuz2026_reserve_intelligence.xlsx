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nsumer" sheetId="2" state="visible" r:id="rId2"/>
    <sheet name="Producer" sheetId="3" state="visible" r:id="rId3"/>
    <sheet name="Key Indicators" sheetId="4" state="visible" r:id="rId4"/>
    <sheet name="Ledger" sheetId="5" state="visible" r:id="rId5"/>
    <sheet name="Throughput" sheetId="6" state="visible" r:id="rId6"/>
    <sheet name="Trajectory" sheetId="7" state="visible" r:id="rId7"/>
    <sheet name="Scenarios" sheetId="8" state="visible" r:id="rId8"/>
    <sheet name="Foot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10">
    <font>
      <name val="Calibri"/>
      <family val="2"/>
      <color theme="1"/>
      <sz val="11"/>
      <scheme val="minor"/>
    </font>
    <font>
      <b val="1"/>
      <color rgb="000B1F2A"/>
      <sz val="14"/>
    </font>
    <font>
      <color rgb="001B2B34"/>
      <sz val="10"/>
    </font>
    <font>
      <b val="1"/>
      <color rgb="009E2B25"/>
      <sz val="10"/>
    </font>
    <font>
      <b val="1"/>
      <color rgb="001B2B34"/>
      <sz val="10"/>
    </font>
    <font>
      <name val="Calibri"/>
      <b val="1"/>
      <color rgb="00FFFFFF"/>
      <sz val="11"/>
    </font>
    <font>
      <b val="1"/>
      <color rgb="000B1F2A"/>
      <sz val="12"/>
    </font>
    <font>
      <b val="1"/>
    </font>
    <font>
      <b val="1"/>
      <color rgb="009E2B25"/>
    </font>
    <font>
      <b val="1"/>
      <color rgb="009E2B25"/>
      <sz val="12"/>
    </font>
  </fonts>
  <fills count="6">
    <fill>
      <patternFill/>
    </fill>
    <fill>
      <patternFill patternType="gray125"/>
    </fill>
    <fill>
      <patternFill patternType="solid">
        <fgColor rgb="000B1F2A"/>
      </patternFill>
    </fill>
    <fill>
      <patternFill patternType="solid">
        <fgColor rgb="00E6EAED"/>
      </patternFill>
    </fill>
    <fill>
      <patternFill patternType="solid">
        <fgColor rgb="00F6D9C7"/>
      </patternFill>
    </fill>
    <fill>
      <patternFill patternType="solid">
        <fgColor rgb="00FBEED2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Stock trajectory Feb-&gt;Jun 2026 (inflection: NOT yet turned)</a:t>
            </a:r>
          </a:p>
        </rich>
      </tx>
    </title>
    <plotArea>
      <lineChart>
        <grouping val="standard"/>
        <ser>
          <idx val="0"/>
          <order val="0"/>
          <tx>
            <strRef>
              <f>'Trajectory'!B1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'Trajectory'!$A$2:$A$9</f>
            </numRef>
          </cat>
          <val>
            <numRef>
              <f>'Trajectory'!$B$2:$B$9</f>
            </numRef>
          </val>
        </ser>
        <ser>
          <idx val="1"/>
          <order val="1"/>
          <tx>
            <strRef>
              <f>'Trajectory'!C1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'Trajectory'!$A$2:$A$9</f>
            </numRef>
          </cat>
          <val>
            <numRef>
              <f>'Trajectory'!$C$2:$C$9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Hormuz 2026 — Crude Reserve, Redistribution &amp; Restocking Intelligence</t>
        </is>
      </c>
    </row>
    <row r="3">
      <c r="A3" s="2" t="inlineStr"/>
    </row>
    <row r="4">
      <c r="A4" s="2" t="inlineStr">
        <is>
          <t>As-of: 26 Jun 2026  |  War start 28 Feb 2026  |  Window T = 118 days  |  Brent $74.43  |  Hormuz contested-but-flowing ~4.8 mb/d</t>
        </is>
      </c>
    </row>
    <row r="5">
      <c r="A5" s="2" t="inlineStr"/>
    </row>
    <row r="6">
      <c r="A6" s="3" t="inlineStr">
        <is>
          <t>THESIS VERDICT: the 'global reserves are conserved, just redistributed producer-side' hypothesis is REFUTED (strong form).</t>
        </is>
      </c>
    </row>
    <row r="7">
      <c r="A7" s="2" t="inlineStr">
        <is>
          <t xml:space="preserve">  rho = producer build / consumer draw = 120 / 615 = 0.195  (band 0.15-0.26; an order of magnitude below conservation = 1.0).</t>
        </is>
      </c>
    </row>
    <row r="8">
      <c r="A8" s="2" t="inlineStr">
        <is>
          <t xml:space="preserve">  Mechanism: Gulf tankage saturated in ~1-2 weeks, so blocked output was SHUT IN at the wellhead (~700-1,080 mb), not stockpiled.</t>
        </is>
      </c>
    </row>
    <row r="9">
      <c r="A9" s="2" t="inlineStr"/>
    </row>
    <row r="10">
      <c r="A10" s="4" t="inlineStr">
        <is>
          <t>LIVE FORMULAS: every computed cell is a real Excel formula, not a pasted number. Edit a 'days' value and months/deltas/at-risk recompute.</t>
        </is>
      </c>
    </row>
    <row r="11">
      <c r="A11" s="2" t="inlineStr">
        <is>
          <t xml:space="preserve">  Months   = days / 30.44</t>
        </is>
      </c>
    </row>
    <row r="12">
      <c r="A12" s="2" t="inlineStr">
        <is>
          <t xml:space="preserve">  Delta days = Today - Before ;  Delta % = (Today - Before) / Before</t>
        </is>
      </c>
    </row>
    <row r="13">
      <c r="A13" s="2" t="inlineStr">
        <is>
          <t xml:space="preserve">  Eff. at-risk cover = Today days x (1 - Hormuz-dependence)   [worst-case zero-replacement BOUND, not a coverage estimate]</t>
        </is>
      </c>
    </row>
    <row r="14">
      <c r="A14" s="2" t="inlineStr">
        <is>
          <t xml:space="preserve">  rho (ledger) = Producer build / Consumer draw   (live on the Ledger sheet)</t>
        </is>
      </c>
    </row>
    <row r="15">
      <c r="A15" s="2" t="inlineStr"/>
    </row>
    <row r="16">
      <c r="A16" s="2" t="inlineStr">
        <is>
          <t>CONFIDENCE LADDER:  Verified-official &gt; Inferred-triangulated &gt; Modelled-EST &gt; Absent('-').  A model is at most ONE source class.</t>
        </is>
      </c>
    </row>
    <row r="17">
      <c r="A17" s="2" t="inlineStr"/>
    </row>
    <row r="18">
      <c r="A18" s="3" t="inlineStr">
        <is>
          <t>CAVEAT (load-bearing): primary IEA OMR / EIA weekly hosts were egress-proxy-403-blocked at run time, so many cells are</t>
        </is>
      </c>
    </row>
    <row r="19">
      <c r="A19" s="2" t="inlineStr">
        <is>
          <t>WIRE-ATTRIBUTED (one tier below Verified). Re-pull IEA/EIA directly before putting these decimals in front of a manager.</t>
        </is>
      </c>
    </row>
    <row r="20">
      <c r="A20" s="2" t="inlineStr"/>
    </row>
    <row r="21">
      <c r="A21" s="2" t="inlineStr">
        <is>
          <t>Sheets:  Consumer | Producer | Key Indicators | Ledger | Throughput | Trajectory | Scenarios | Footnotes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9" customWidth="1" min="6" max="6"/>
    <col width="8" customWidth="1" min="7" max="7"/>
    <col width="11" customWidth="1" min="8" max="8"/>
    <col width="15" customWidth="1" min="9" max="9"/>
    <col width="20" customWidth="1" min="10" max="10"/>
    <col width="46" customWidth="1" min="11" max="11"/>
  </cols>
  <sheetData>
    <row r="1">
      <c r="A1" s="5" t="inlineStr">
        <is>
          <t>Country</t>
        </is>
      </c>
      <c r="B1" s="5" t="inlineStr">
        <is>
          <t>Before (days)</t>
        </is>
      </c>
      <c r="C1" s="5" t="inlineStr">
        <is>
          <t>Before (months)</t>
        </is>
      </c>
      <c r="D1" s="5" t="inlineStr">
        <is>
          <t>Today (days)</t>
        </is>
      </c>
      <c r="E1" s="5" t="inlineStr">
        <is>
          <t>Today (months)</t>
        </is>
      </c>
      <c r="F1" s="5" t="inlineStr">
        <is>
          <t>Δ days</t>
        </is>
      </c>
      <c r="G1" s="5" t="inlineStr">
        <is>
          <t>Δ %</t>
        </is>
      </c>
      <c r="H1" s="5" t="inlineStr">
        <is>
          <t>Hormuz-dep %</t>
        </is>
      </c>
      <c r="I1" s="5" t="inlineStr">
        <is>
          <t>Eff. at-risk cover</t>
        </is>
      </c>
      <c r="J1" s="5" t="inlineStr">
        <is>
          <t>Confidence</t>
        </is>
      </c>
      <c r="K1" s="5" t="inlineStr">
        <is>
          <t>Source &amp; Date</t>
        </is>
      </c>
    </row>
    <row r="2">
      <c r="A2" s="6" t="inlineStr">
        <is>
          <t>USA</t>
        </is>
      </c>
      <c r="B2" s="7" t="inlineStr">
        <is>
          <t>-</t>
        </is>
      </c>
      <c r="C2" s="8" t="inlineStr">
        <is>
          <t>-</t>
        </is>
      </c>
      <c r="D2" s="7" t="inlineStr">
        <is>
          <t>-</t>
        </is>
      </c>
      <c r="E2" s="8" t="inlineStr">
        <is>
          <t>-</t>
        </is>
      </c>
      <c r="F2" s="7" t="inlineStr">
        <is>
          <t>-</t>
        </is>
      </c>
      <c r="G2" s="9" t="inlineStr">
        <is>
          <t>-</t>
        </is>
      </c>
      <c r="H2" s="10" t="n">
        <v>0.08</v>
      </c>
      <c r="I2" s="7" t="inlineStr">
        <is>
          <t>-</t>
        </is>
      </c>
      <c r="J2" s="11" t="inlineStr">
        <is>
          <t>Absent</t>
        </is>
      </c>
      <c r="K2" s="6" t="inlineStr">
        <is>
          <t>EIA WPSR / IEA OMR May-26; net-exporter, metric undefined</t>
        </is>
      </c>
    </row>
    <row r="3">
      <c r="A3" s="6" t="inlineStr">
        <is>
          <t>Germany</t>
        </is>
      </c>
      <c r="B3" s="7" t="inlineStr">
        <is>
          <t>-</t>
        </is>
      </c>
      <c r="C3" s="8" t="inlineStr">
        <is>
          <t>-</t>
        </is>
      </c>
      <c r="D3" s="7" t="n">
        <v>99.09999999999999</v>
      </c>
      <c r="E3" s="8">
        <f>D3/30.44</f>
        <v/>
      </c>
      <c r="F3" s="7" t="inlineStr">
        <is>
          <t>-</t>
        </is>
      </c>
      <c r="G3" s="9" t="inlineStr">
        <is>
          <t>-</t>
        </is>
      </c>
      <c r="H3" s="10" t="n">
        <v>0.05</v>
      </c>
      <c r="I3" s="7">
        <f>D3*(1-H3)</f>
        <v/>
      </c>
      <c r="J3" s="12" t="inlineStr">
        <is>
          <t>Modelled-EST</t>
        </is>
      </c>
      <c r="K3" s="6" t="inlineStr">
        <is>
          <t>BMWE/EBV + IEA, 11 Mar 26 (before=110 imputed)</t>
        </is>
      </c>
    </row>
    <row r="4">
      <c r="A4" s="6" t="inlineStr">
        <is>
          <t>France</t>
        </is>
      </c>
      <c r="B4" s="7" t="n">
        <v>98</v>
      </c>
      <c r="C4" s="8">
        <f>B4/30.44</f>
        <v/>
      </c>
      <c r="D4" s="7" t="n">
        <v>98</v>
      </c>
      <c r="E4" s="8">
        <f>D4/30.44</f>
        <v/>
      </c>
      <c r="F4" s="7">
        <f>D4-B4</f>
        <v/>
      </c>
      <c r="G4" s="9">
        <f>(D4-B4)/B4</f>
        <v/>
      </c>
      <c r="H4" s="10" t="n">
        <v>0.11</v>
      </c>
      <c r="I4" s="7">
        <f>D4*(1-H4)</f>
        <v/>
      </c>
      <c r="J4" s="13" t="inlineStr">
        <is>
          <t>Inferred-triangulated</t>
        </is>
      </c>
      <c r="K4" s="6" t="inlineStr">
        <is>
          <t>IEA/Euronews/Eurostat, Apr 26</t>
        </is>
      </c>
    </row>
    <row r="5">
      <c r="A5" s="6" t="inlineStr">
        <is>
          <t>UK</t>
        </is>
      </c>
      <c r="B5" s="7" t="n">
        <v>104</v>
      </c>
      <c r="C5" s="8">
        <f>B5/30.44</f>
        <v/>
      </c>
      <c r="D5" s="7" t="n">
        <v>90</v>
      </c>
      <c r="E5" s="8">
        <f>D5/30.44</f>
        <v/>
      </c>
      <c r="F5" s="7">
        <f>D5-B5</f>
        <v/>
      </c>
      <c r="G5" s="9">
        <f>(D5-B5)/B5</f>
        <v/>
      </c>
      <c r="H5" s="10" t="n">
        <v>0.07000000000000001</v>
      </c>
      <c r="I5" s="7">
        <f>D5*(1-H5)</f>
        <v/>
      </c>
      <c r="J5" s="13" t="inlineStr">
        <is>
          <t>Inferred-triangulated</t>
        </is>
      </c>
      <c r="K5" s="6" t="inlineStr">
        <is>
          <t>GOV.UK/IEA/Al Jazeera, Mar 26</t>
        </is>
      </c>
    </row>
    <row r="6">
      <c r="A6" s="6" t="inlineStr">
        <is>
          <t>Italy</t>
        </is>
      </c>
      <c r="B6" s="7" t="inlineStr">
        <is>
          <t>-</t>
        </is>
      </c>
      <c r="C6" s="8" t="inlineStr">
        <is>
          <t>-</t>
        </is>
      </c>
      <c r="D6" s="7" t="n">
        <v>90</v>
      </c>
      <c r="E6" s="8">
        <f>D6/30.44</f>
        <v/>
      </c>
      <c r="F6" s="7" t="inlineStr">
        <is>
          <t>-</t>
        </is>
      </c>
      <c r="G6" s="9" t="inlineStr">
        <is>
          <t>-</t>
        </is>
      </c>
      <c r="H6" s="10" t="n">
        <v>0.18</v>
      </c>
      <c r="I6" s="7">
        <f>D6*(1-H6)</f>
        <v/>
      </c>
      <c r="J6" s="13" t="inlineStr">
        <is>
          <t>Inferred-triangulated</t>
        </is>
      </c>
      <c r="K6" s="6" t="inlineStr">
        <is>
          <t>IEA Italy Oil Security / EU Dir 2009/119</t>
        </is>
      </c>
    </row>
    <row r="7">
      <c r="A7" s="6" t="inlineStr">
        <is>
          <t>Spain</t>
        </is>
      </c>
      <c r="B7" s="7" t="n">
        <v>120</v>
      </c>
      <c r="C7" s="8">
        <f>B7/30.44</f>
        <v/>
      </c>
      <c r="D7" s="7" t="n">
        <v>91</v>
      </c>
      <c r="E7" s="8">
        <f>D7/30.44</f>
        <v/>
      </c>
      <c r="F7" s="7">
        <f>D7-B7</f>
        <v/>
      </c>
      <c r="G7" s="9">
        <f>(D7-B7)/B7</f>
        <v/>
      </c>
      <c r="H7" s="10" t="n">
        <v>0.06</v>
      </c>
      <c r="I7" s="7">
        <f>D7*(1-H7)</f>
        <v/>
      </c>
      <c r="J7" s="12" t="inlineStr">
        <is>
          <t>Modelled-EST</t>
        </is>
      </c>
      <c r="K7" s="6" t="inlineStr">
        <is>
          <t>CORES/IEA/Al Jazeera, Mar 26</t>
        </is>
      </c>
    </row>
    <row r="8">
      <c r="A8" s="6" t="inlineStr">
        <is>
          <t>Netherlands</t>
        </is>
      </c>
      <c r="B8" s="7" t="inlineStr">
        <is>
          <t>-</t>
        </is>
      </c>
      <c r="C8" s="8" t="inlineStr">
        <is>
          <t>-</t>
        </is>
      </c>
      <c r="D8" s="7" t="inlineStr">
        <is>
          <t>-</t>
        </is>
      </c>
      <c r="E8" s="8" t="inlineStr">
        <is>
          <t>-</t>
        </is>
      </c>
      <c r="F8" s="7" t="inlineStr">
        <is>
          <t>-</t>
        </is>
      </c>
      <c r="G8" s="9" t="inlineStr">
        <is>
          <t>-</t>
        </is>
      </c>
      <c r="H8" s="10" t="n">
        <v>0.06</v>
      </c>
      <c r="I8" s="7" t="inlineStr">
        <is>
          <t>-</t>
        </is>
      </c>
      <c r="J8" s="11" t="inlineStr">
        <is>
          <t>Absent</t>
        </is>
      </c>
      <c r="K8" s="6" t="inlineStr">
        <is>
          <t>IEA/COVA; net-exporter, metric undefined</t>
        </is>
      </c>
    </row>
    <row r="9">
      <c r="A9" s="6" t="inlineStr">
        <is>
          <t>Poland</t>
        </is>
      </c>
      <c r="B9" s="7" t="inlineStr">
        <is>
          <t>-</t>
        </is>
      </c>
      <c r="C9" s="8" t="inlineStr">
        <is>
          <t>-</t>
        </is>
      </c>
      <c r="D9" s="7" t="n">
        <v>86.5</v>
      </c>
      <c r="E9" s="8">
        <f>D9/30.44</f>
        <v/>
      </c>
      <c r="F9" s="7" t="inlineStr">
        <is>
          <t>-</t>
        </is>
      </c>
      <c r="G9" s="9" t="inlineStr">
        <is>
          <t>-</t>
        </is>
      </c>
      <c r="H9" s="10" t="n">
        <v>0.13</v>
      </c>
      <c r="I9" s="7">
        <f>D9*(1-H9)</f>
        <v/>
      </c>
      <c r="J9" s="12" t="inlineStr">
        <is>
          <t>Modelled-EST</t>
        </is>
      </c>
      <c r="K9" s="6" t="inlineStr">
        <is>
          <t>IEA Poland Oil Security + model</t>
        </is>
      </c>
    </row>
    <row r="10">
      <c r="A10" s="6" t="inlineStr">
        <is>
          <t>Japan</t>
        </is>
      </c>
      <c r="B10" s="7" t="n">
        <v>200</v>
      </c>
      <c r="C10" s="8">
        <f>B10/30.44</f>
        <v/>
      </c>
      <c r="D10" s="7" t="n">
        <v>205</v>
      </c>
      <c r="E10" s="8">
        <f>D10/30.44</f>
        <v/>
      </c>
      <c r="F10" s="7">
        <f>D10-B10</f>
        <v/>
      </c>
      <c r="G10" s="9">
        <f>(D10-B10)/B10</f>
        <v/>
      </c>
      <c r="H10" s="10" t="n">
        <v>0.9</v>
      </c>
      <c r="I10" s="7">
        <f>D10*(1-H10)</f>
        <v/>
      </c>
      <c r="J10" s="13" t="inlineStr">
        <is>
          <t>Inferred-triangulated</t>
        </is>
      </c>
      <c r="K10" s="6" t="inlineStr">
        <is>
          <t>S&amp;P/METI-ANRE, 9 May 26</t>
        </is>
      </c>
    </row>
    <row r="11">
      <c r="A11" s="6" t="inlineStr">
        <is>
          <t>South Korea</t>
        </is>
      </c>
      <c r="B11" s="7" t="n">
        <v>208</v>
      </c>
      <c r="C11" s="8">
        <f>B11/30.44</f>
        <v/>
      </c>
      <c r="D11" s="7" t="n">
        <v>205</v>
      </c>
      <c r="E11" s="8">
        <f>D11/30.44</f>
        <v/>
      </c>
      <c r="F11" s="7">
        <f>D11-B11</f>
        <v/>
      </c>
      <c r="G11" s="9">
        <f>(D11-B11)/B11</f>
        <v/>
      </c>
      <c r="H11" s="10" t="n">
        <v>0.9</v>
      </c>
      <c r="I11" s="7">
        <f>D11*(1-H11)</f>
        <v/>
      </c>
      <c r="J11" s="13" t="inlineStr">
        <is>
          <t>Inferred-triangulated</t>
        </is>
      </c>
      <c r="K11" s="6" t="inlineStr">
        <is>
          <t>IEA tool/CSIS/Sedaily, May 26</t>
        </is>
      </c>
    </row>
    <row r="12">
      <c r="A12" s="6" t="inlineStr">
        <is>
          <t>China</t>
        </is>
      </c>
      <c r="B12" s="7" t="n">
        <v>122.5</v>
      </c>
      <c r="C12" s="8">
        <f>B12/30.44</f>
        <v/>
      </c>
      <c r="D12" s="7" t="n">
        <v>130</v>
      </c>
      <c r="E12" s="8">
        <f>D12/30.44</f>
        <v/>
      </c>
      <c r="F12" s="7">
        <f>D12-B12</f>
        <v/>
      </c>
      <c r="G12" s="9">
        <f>(D12-B12)/B12</f>
        <v/>
      </c>
      <c r="H12" s="10" t="n">
        <v>0.46</v>
      </c>
      <c r="I12" s="7">
        <f>D12*(1-H12)</f>
        <v/>
      </c>
      <c r="J12" s="13" t="inlineStr">
        <is>
          <t>Inferred-triangulated</t>
        </is>
      </c>
      <c r="K12" s="6" t="inlineStr">
        <is>
          <t>Reuters-Kemp/EIA, 2026</t>
        </is>
      </c>
    </row>
    <row r="13">
      <c r="A13" s="6" t="inlineStr">
        <is>
          <t>India</t>
        </is>
      </c>
      <c r="B13" s="7" t="n">
        <v>74</v>
      </c>
      <c r="C13" s="8">
        <f>B13/30.44</f>
        <v/>
      </c>
      <c r="D13" s="7" t="n">
        <v>76</v>
      </c>
      <c r="E13" s="8">
        <f>D13/30.44</f>
        <v/>
      </c>
      <c r="F13" s="7">
        <f>D13-B13</f>
        <v/>
      </c>
      <c r="G13" s="9">
        <f>(D13-B13)/B13</f>
        <v/>
      </c>
      <c r="H13" s="10" t="n">
        <v>0.3</v>
      </c>
      <c r="I13" s="7">
        <f>D13*(1-H13)</f>
        <v/>
      </c>
      <c r="J13" s="13" t="inlineStr">
        <is>
          <t>Inferred-triangulated</t>
        </is>
      </c>
      <c r="K13" s="6" t="inlineStr">
        <is>
          <t>Min. Puri 76-80d, 8 Jun 26</t>
        </is>
      </c>
    </row>
    <row r="14">
      <c r="A14" s="6" t="inlineStr">
        <is>
          <t>Thailand</t>
        </is>
      </c>
      <c r="B14" s="7" t="inlineStr">
        <is>
          <t>-</t>
        </is>
      </c>
      <c r="C14" s="8" t="inlineStr">
        <is>
          <t>-</t>
        </is>
      </c>
      <c r="D14" s="7" t="n">
        <v>117</v>
      </c>
      <c r="E14" s="8">
        <f>D14/30.44</f>
        <v/>
      </c>
      <c r="F14" s="7" t="inlineStr">
        <is>
          <t>-</t>
        </is>
      </c>
      <c r="G14" s="9" t="inlineStr">
        <is>
          <t>-</t>
        </is>
      </c>
      <c r="H14" s="10" t="n">
        <v>0.55</v>
      </c>
      <c r="I14" s="7">
        <f>D14*(1-H14)</f>
        <v/>
      </c>
      <c r="J14" s="13" t="inlineStr">
        <is>
          <t>Inferred-triangulated</t>
        </is>
      </c>
      <c r="K14" s="6" t="inlineStr">
        <is>
          <t>Thai Energy Ministry, 12 May 26 (hard on-ground ~56d)</t>
        </is>
      </c>
    </row>
    <row r="15">
      <c r="A15" s="6" t="inlineStr">
        <is>
          <t>Philippines</t>
        </is>
      </c>
      <c r="B15" s="7" t="inlineStr">
        <is>
          <t>-</t>
        </is>
      </c>
      <c r="C15" s="8" t="inlineStr">
        <is>
          <t>-</t>
        </is>
      </c>
      <c r="D15" s="7" t="n">
        <v>46.47</v>
      </c>
      <c r="E15" s="8">
        <f>D15/30.44</f>
        <v/>
      </c>
      <c r="F15" s="7" t="inlineStr">
        <is>
          <t>-</t>
        </is>
      </c>
      <c r="G15" s="9" t="inlineStr">
        <is>
          <t>-</t>
        </is>
      </c>
      <c r="H15" s="10" t="n">
        <v>0.95</v>
      </c>
      <c r="I15" s="7">
        <f>D15*(1-H15)</f>
        <v/>
      </c>
      <c r="J15" s="13" t="inlineStr">
        <is>
          <t>Inferred-triangulated</t>
        </is>
      </c>
      <c r="K15" s="6" t="inlineStr">
        <is>
          <t>PH DOE OIMB weekly, 12 Jun 26</t>
        </is>
      </c>
    </row>
    <row r="16">
      <c r="A16" s="6" t="inlineStr">
        <is>
          <t>Indonesia</t>
        </is>
      </c>
      <c r="B16" s="7" t="inlineStr">
        <is>
          <t>-</t>
        </is>
      </c>
      <c r="C16" s="8" t="inlineStr">
        <is>
          <t>-</t>
        </is>
      </c>
      <c r="D16" s="7" t="n">
        <v>21</v>
      </c>
      <c r="E16" s="8">
        <f>D16/30.44</f>
        <v/>
      </c>
      <c r="F16" s="7" t="inlineStr">
        <is>
          <t>-</t>
        </is>
      </c>
      <c r="G16" s="9" t="inlineStr">
        <is>
          <t>-</t>
        </is>
      </c>
      <c r="H16" s="10" t="n">
        <v>0.2</v>
      </c>
      <c r="I16" s="7">
        <f>D16*(1-H16)</f>
        <v/>
      </c>
      <c r="J16" s="13" t="inlineStr">
        <is>
          <t>Inferred-triangulated</t>
        </is>
      </c>
      <c r="K16" s="6" t="inlineStr">
        <is>
          <t>Jakarta Globe/ESDM, Jun 26 (capacity-capped ~25d)</t>
        </is>
      </c>
    </row>
    <row r="17">
      <c r="A17" s="6" t="inlineStr">
        <is>
          <t>Vietnam</t>
        </is>
      </c>
      <c r="B17" s="7" t="inlineStr">
        <is>
          <t>-</t>
        </is>
      </c>
      <c r="C17" s="8" t="inlineStr">
        <is>
          <t>-</t>
        </is>
      </c>
      <c r="D17" s="7" t="n">
        <v>40.3</v>
      </c>
      <c r="E17" s="8">
        <f>D17/30.44</f>
        <v/>
      </c>
      <c r="F17" s="7" t="inlineStr">
        <is>
          <t>-</t>
        </is>
      </c>
      <c r="G17" s="9" t="inlineStr">
        <is>
          <t>-</t>
        </is>
      </c>
      <c r="H17" s="10" t="n">
        <v>0.88</v>
      </c>
      <c r="I17" s="7">
        <f>D17*(1-H17)</f>
        <v/>
      </c>
      <c r="J17" s="13" t="inlineStr">
        <is>
          <t>Inferred-triangulated</t>
        </is>
      </c>
      <c r="K17" s="6" t="inlineStr">
        <is>
          <t>VietnamNet D-basis, May 26 (model ~16d; divergence preserved)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5" customWidth="1" min="4" max="4"/>
    <col width="15" customWidth="1" min="5" max="5"/>
    <col width="13" customWidth="1" min="6" max="6"/>
    <col width="11" customWidth="1" min="7" max="7"/>
    <col width="13" customWidth="1" min="8" max="8"/>
    <col width="12" customWidth="1" min="9" max="9"/>
    <col width="20" customWidth="1" min="10" max="10"/>
    <col width="40" customWidth="1" min="11" max="11"/>
  </cols>
  <sheetData>
    <row r="1">
      <c r="A1" s="5" t="inlineStr">
        <is>
          <t>Country</t>
        </is>
      </c>
      <c r="B1" s="5" t="inlineStr">
        <is>
          <t>Export-cover (days) deployable</t>
        </is>
      </c>
      <c r="C1" s="5" t="inlineStr">
        <is>
          <t>Export-cover (days) total</t>
        </is>
      </c>
      <c r="D1" s="5" t="inlineStr">
        <is>
          <t>Usable in-Hormuz (mb)</t>
        </is>
      </c>
      <c r="E1" s="5" t="inlineStr">
        <is>
          <t>Usable out-Hormuz (mb)</t>
        </is>
      </c>
      <c r="F1" s="5" t="inlineStr">
        <is>
          <t>Usable abroad (mb)</t>
        </is>
      </c>
      <c r="G1" s="5" t="inlineStr">
        <is>
          <t>Storage-util %</t>
        </is>
      </c>
      <c r="H1" s="5" t="inlineStr">
        <is>
          <t>Bypass-adj export (mb/d)</t>
        </is>
      </c>
      <c r="I1" s="5" t="inlineStr">
        <is>
          <t>Shut-in (mb/d)</t>
        </is>
      </c>
      <c r="J1" s="5" t="inlineStr">
        <is>
          <t>Confidence</t>
        </is>
      </c>
      <c r="K1" s="5" t="inlineStr">
        <is>
          <t>Source &amp; Date</t>
        </is>
      </c>
    </row>
    <row r="2">
      <c r="A2" s="6" t="inlineStr">
        <is>
          <t>Saudi Arabia</t>
        </is>
      </c>
      <c r="B2" s="7" t="n">
        <v>7.7</v>
      </c>
      <c r="C2" s="7" t="n">
        <v>31.9</v>
      </c>
      <c r="D2" s="7" t="n">
        <v>150</v>
      </c>
      <c r="E2" s="7" t="n">
        <v>30</v>
      </c>
      <c r="F2" s="7" t="n">
        <v>18</v>
      </c>
      <c r="G2" s="10" t="n">
        <v>0.92</v>
      </c>
      <c r="H2" s="7" t="n">
        <v>4.5</v>
      </c>
      <c r="I2" s="7" t="n">
        <v>2.3</v>
      </c>
      <c r="J2" s="13" t="inlineStr">
        <is>
          <t>Inferred-triangulated</t>
        </is>
      </c>
      <c r="K2" s="6" t="inlineStr">
        <is>
          <t>Argus/Bloomberg/Kayrros, Mar-Jun 26</t>
        </is>
      </c>
    </row>
    <row r="3">
      <c r="A3" s="6" t="inlineStr">
        <is>
          <t>UAE</t>
        </is>
      </c>
      <c r="B3" s="7" t="n">
        <v>9</v>
      </c>
      <c r="C3" s="7" t="n">
        <v>14</v>
      </c>
      <c r="D3" s="7" t="n">
        <v>0</v>
      </c>
      <c r="E3" s="7" t="n">
        <v>42</v>
      </c>
      <c r="F3" s="7" t="n">
        <v>6</v>
      </c>
      <c r="G3" s="10" t="n">
        <v>0.9</v>
      </c>
      <c r="H3" s="7" t="n">
        <v>1.8</v>
      </c>
      <c r="I3" s="7" t="n">
        <v>1.4</v>
      </c>
      <c r="J3" s="13" t="inlineStr">
        <is>
          <t>Inferred-triangulated</t>
        </is>
      </c>
      <c r="K3" s="6" t="inlineStr">
        <is>
          <t>IEA OMR via The National, 24 Jun 26</t>
        </is>
      </c>
    </row>
    <row r="4">
      <c r="A4" s="6" t="inlineStr">
        <is>
          <t>Iran</t>
        </is>
      </c>
      <c r="B4" s="7" t="n">
        <v>6</v>
      </c>
      <c r="C4" s="7" t="n">
        <v>57</v>
      </c>
      <c r="D4" s="7" t="n">
        <v>106</v>
      </c>
      <c r="E4" s="7" t="n">
        <v>0</v>
      </c>
      <c r="F4" s="7" t="n">
        <v>0</v>
      </c>
      <c r="G4" s="10" t="n">
        <v>0.91</v>
      </c>
      <c r="H4" s="7" t="n">
        <v>0.1</v>
      </c>
      <c r="I4" s="7" t="n">
        <v>1.45</v>
      </c>
      <c r="J4" s="13" t="inlineStr">
        <is>
          <t>Inferred-triangulated</t>
        </is>
      </c>
      <c r="K4" s="6" t="inlineStr">
        <is>
          <t>Kpler/Al Jazeera, Jun 26</t>
        </is>
      </c>
    </row>
    <row r="5">
      <c r="A5" s="6" t="inlineStr">
        <is>
          <t>Iraq</t>
        </is>
      </c>
      <c r="B5" s="7" t="n">
        <v>0.3</v>
      </c>
      <c r="C5" s="7" t="n">
        <v>4.7</v>
      </c>
      <c r="D5" s="7" t="n">
        <v>17</v>
      </c>
      <c r="E5" s="7" t="n">
        <v>1</v>
      </c>
      <c r="F5" s="7" t="n">
        <v>0</v>
      </c>
      <c r="G5" s="10" t="n">
        <v>0.95</v>
      </c>
      <c r="H5" s="7" t="n">
        <v>0.3</v>
      </c>
      <c r="I5" s="7" t="n">
        <v>1.5</v>
      </c>
      <c r="J5" s="13" t="inlineStr">
        <is>
          <t>Inferred-triangulated</t>
        </is>
      </c>
      <c r="K5" s="6" t="inlineStr">
        <is>
          <t>Bloomberg/IEA OMR Apr/Basra Oil Co</t>
        </is>
      </c>
    </row>
    <row r="6">
      <c r="A6" s="6" t="inlineStr">
        <is>
          <t>Kuwait</t>
        </is>
      </c>
      <c r="B6" s="7" t="n">
        <v>4.2</v>
      </c>
      <c r="C6" s="7" t="n">
        <v>16</v>
      </c>
      <c r="D6" s="7" t="n">
        <v>21</v>
      </c>
      <c r="E6" s="7" t="n">
        <v>0</v>
      </c>
      <c r="F6" s="7" t="n">
        <v>7.5</v>
      </c>
      <c r="G6" s="10" t="n">
        <v>0.9</v>
      </c>
      <c r="H6" s="7" t="n">
        <v>0</v>
      </c>
      <c r="I6" s="7" t="n">
        <v>2</v>
      </c>
      <c r="J6" s="13" t="inlineStr">
        <is>
          <t>Inferred-triangulated</t>
        </is>
      </c>
      <c r="K6" s="6" t="inlineStr">
        <is>
          <t>Bloomberg/Zawya/The National, Apr-Jun 26</t>
        </is>
      </c>
    </row>
    <row r="7">
      <c r="A7" s="6" t="inlineStr">
        <is>
          <t>Qatar</t>
        </is>
      </c>
      <c r="B7" s="7" t="n">
        <v>0</v>
      </c>
      <c r="C7" s="7" t="n">
        <v>10.5</v>
      </c>
      <c r="D7" s="7" t="n">
        <v>10</v>
      </c>
      <c r="E7" s="7" t="n">
        <v>0</v>
      </c>
      <c r="F7" s="7" t="n">
        <v>0</v>
      </c>
      <c r="G7" s="10" t="n">
        <v>0.92</v>
      </c>
      <c r="H7" s="7" t="n">
        <v>0</v>
      </c>
      <c r="I7" s="7" t="n">
        <v>0.95</v>
      </c>
      <c r="J7" s="12" t="inlineStr">
        <is>
          <t>Modelled-EST</t>
        </is>
      </c>
      <c r="K7" s="6" t="inlineStr">
        <is>
          <t>EIA Qatar brief + OilPrice (downgraded)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8" customWidth="1" min="4" max="4"/>
    <col width="40" customWidth="1" min="5" max="5"/>
  </cols>
  <sheetData>
    <row r="1">
      <c r="A1" s="5" t="inlineStr">
        <is>
          <t>Indicator</t>
        </is>
      </c>
      <c r="B1" s="5" t="inlineStr">
        <is>
          <t>Prewar / Before</t>
        </is>
      </c>
      <c r="C1" s="5" t="inlineStr">
        <is>
          <t>Peak</t>
        </is>
      </c>
      <c r="D1" s="5" t="inlineStr">
        <is>
          <t>Now (26 Jun)</t>
        </is>
      </c>
      <c r="E1" s="5" t="inlineStr">
        <is>
          <t>Note</t>
        </is>
      </c>
    </row>
    <row r="2">
      <c r="A2" s="6" t="inlineStr">
        <is>
          <t>Brent ($/bbl)</t>
        </is>
      </c>
      <c r="B2" s="6" t="inlineStr">
        <is>
          <t>$72 (27 Feb); $65 late-25 anchor</t>
        </is>
      </c>
      <c r="C2" s="6" t="inlineStr">
        <is>
          <t>~$120</t>
        </is>
      </c>
      <c r="D2" s="6" t="inlineStr">
        <is>
          <t>$74.43</t>
        </is>
      </c>
      <c r="E2" s="6" t="inlineStr">
        <is>
          <t>EIA RBRTE + Trading Economics</t>
        </is>
      </c>
    </row>
    <row r="3">
      <c r="A3" s="6" t="inlineStr">
        <is>
          <t>US SPR (mb)</t>
        </is>
      </c>
      <c r="B3" s="6" t="inlineStr">
        <is>
          <t>411 (31 Dec 25)</t>
        </is>
      </c>
      <c r="C3" s="6" t="inlineStr">
        <is>
          <t>-</t>
        </is>
      </c>
      <c r="D3" s="6" t="inlineStr">
        <is>
          <t>331 (19 Jun)</t>
        </is>
      </c>
      <c r="E3" s="6" t="inlineStr">
        <is>
          <t>46.4% of ~714 nameplate; lowest since 1983</t>
        </is>
      </c>
    </row>
    <row r="4">
      <c r="A4" s="6" t="inlineStr">
        <is>
          <t>IEA collective release (mb)</t>
        </is>
      </c>
      <c r="B4" s="6" t="inlineStr">
        <is>
          <t>-</t>
        </is>
      </c>
      <c r="C4" s="6" t="inlineStr">
        <is>
          <t>-</t>
        </is>
      </c>
      <c r="D4" s="6" t="inlineStr">
        <is>
          <t>400 (US share 172)</t>
        </is>
      </c>
      <c r="E4" s="6" t="inlineStr">
        <is>
          <t>decided 11 Mar; ~186 executed by 19 Jun</t>
        </is>
      </c>
    </row>
    <row r="5">
      <c r="A5" s="6" t="inlineStr">
        <is>
          <t>VLCC ($/day MEG-China)</t>
        </is>
      </c>
      <c r="B5" s="6" t="inlineStr">
        <is>
          <t>~$55k</t>
        </is>
      </c>
      <c r="C5" s="6" t="inlineStr">
        <is>
          <t>~$423-470k</t>
        </is>
      </c>
      <c r="D5" s="6" t="inlineStr">
        <is>
          <t>~$179,600</t>
        </is>
      </c>
      <c r="E5" s="6" t="inlineStr">
        <is>
          <t>still &gt;3x prewar</t>
        </is>
      </c>
    </row>
    <row r="6">
      <c r="A6" s="6" t="inlineStr">
        <is>
          <t>War-risk hull premium</t>
        </is>
      </c>
      <c r="B6" s="6" t="inlineStr">
        <is>
          <t>0.10-0.25%</t>
        </is>
      </c>
      <c r="C6" s="6" t="inlineStr">
        <is>
          <t>2.5-5%</t>
        </is>
      </c>
      <c r="D6" s="6" t="inlineStr">
        <is>
          <t>0.3-0.5%</t>
        </is>
      </c>
      <c r="E6" s="6" t="inlineStr">
        <is>
          <t>eased post-ceasefire; reversible</t>
        </is>
      </c>
    </row>
    <row r="7">
      <c r="A7" s="6" t="inlineStr">
        <is>
          <t>Hormuz flow (mb/d)</t>
        </is>
      </c>
      <c r="B7" s="6" t="inlineStr">
        <is>
          <t>~15</t>
        </is>
      </c>
      <c r="C7" s="6" t="inlineStr">
        <is>
          <t>-</t>
        </is>
      </c>
      <c r="D7" s="6" t="inlineStr">
        <is>
          <t>4.8</t>
        </is>
      </c>
      <c r="E7" s="6" t="inlineStr">
        <is>
          <t>contested-but-flowing; 32% of prewar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52" customWidth="1" min="3" max="3"/>
  </cols>
  <sheetData>
    <row r="1">
      <c r="A1" s="14" t="inlineStr">
        <is>
          <t>GLOBAL REDISTRIBUTION LEDGER — thesis test (all mb, window T=118d)</t>
        </is>
      </c>
    </row>
    <row r="3">
      <c r="A3" s="5" t="inlineStr">
        <is>
          <t>Leg</t>
        </is>
      </c>
      <c r="B3" s="5" t="inlineStr">
        <is>
          <t>mb</t>
        </is>
      </c>
      <c r="C3" s="5" t="inlineStr">
        <is>
          <t>Note</t>
        </is>
      </c>
    </row>
    <row r="4">
      <c r="A4" s="6" t="inlineStr">
        <is>
          <t>Consumer / strategic stock draw</t>
        </is>
      </c>
      <c r="B4" s="7" t="n">
        <v>615</v>
      </c>
      <c r="C4" s="6" t="inlineStr">
        <is>
          <t>incl ~80 SPR + ~106 other-IEA strategic releases</t>
        </is>
      </c>
    </row>
    <row r="5">
      <c r="A5" s="6" t="inlineStr">
        <is>
          <t>Demand destruction</t>
        </is>
      </c>
      <c r="B5" s="7" t="n">
        <v>472</v>
      </c>
      <c r="C5" s="6" t="inlineStr">
        <is>
          <t>2Q26 deliveries -5 mb/d y/y (IEA OMR Jun)</t>
        </is>
      </c>
    </row>
    <row r="6">
      <c r="A6" s="6" t="inlineStr">
        <is>
          <t>Atlantic substitution (in)</t>
        </is>
      </c>
      <c r="B6" s="7" t="n">
        <v>410</v>
      </c>
      <c r="C6" s="6" t="inlineStr">
        <is>
          <t>rerouted East-of-Suez</t>
        </is>
      </c>
    </row>
    <row r="7">
      <c r="A7" s="6" t="inlineStr">
        <is>
          <t>Producer build (stranded)</t>
        </is>
      </c>
      <c r="B7" s="7" t="n">
        <v>120</v>
      </c>
      <c r="C7" s="6" t="inlineStr">
        <is>
          <t>floating ~100 + onshore ~20</t>
        </is>
      </c>
    </row>
    <row r="8">
      <c r="A8" s="6" t="inlineStr">
        <is>
          <t>Foregone output (shut-in)</t>
        </is>
      </c>
      <c r="B8" s="7" t="n">
        <v>775</v>
      </c>
      <c r="C8" s="6" t="inlineStr">
        <is>
          <t>time-weighted ~700-850 (flat-rate point ~1,080)</t>
        </is>
      </c>
    </row>
    <row r="10">
      <c r="A10" s="15" t="inlineStr">
        <is>
          <t>rho = Producer build / Consumer draw</t>
        </is>
      </c>
      <c r="B10" s="16">
        <f>B7/B4</f>
        <v/>
      </c>
      <c r="C10" t="inlineStr">
        <is>
          <t>REFUTED if &lt;&lt; 1. (conservation threshold = 1.0)</t>
        </is>
      </c>
    </row>
    <row r="11">
      <c r="A11" t="inlineStr">
        <is>
          <t>War supply gap (mb)</t>
        </is>
      </c>
      <c r="B11" t="n">
        <v>1200</v>
      </c>
    </row>
    <row r="12">
      <c r="A12" t="inlineStr">
        <is>
          <t>Canonical observed net draw (mb)</t>
        </is>
      </c>
      <c r="B12" t="n">
        <v>495</v>
      </c>
    </row>
    <row r="13">
      <c r="A13" s="15" t="inlineStr">
        <is>
          <t>Identity check: DD + observed draw + Atlantic</t>
        </is>
      </c>
      <c r="B13" s="15">
        <f>B5+B12+B6</f>
        <v/>
      </c>
    </row>
    <row r="14">
      <c r="A14" t="inlineStr">
        <is>
          <t>Reconciliation residual (gap - identity)</t>
        </is>
      </c>
      <c r="B14">
        <f>B11-B13</f>
        <v/>
      </c>
      <c r="C14" t="inlineStr">
        <is>
          <t>~ -177 mb (~15%) = the 615-vs-495 error bar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52" customWidth="1" min="3" max="3"/>
  </cols>
  <sheetData>
    <row r="1">
      <c r="A1" s="5" t="inlineStr">
        <is>
          <t>Quantity</t>
        </is>
      </c>
      <c r="B1" s="5" t="inlineStr">
        <is>
          <t>mb/d</t>
        </is>
      </c>
      <c r="C1" s="5" t="inlineStr">
        <is>
          <t>Note</t>
        </is>
      </c>
    </row>
    <row r="2">
      <c r="A2" s="6" t="inlineStr">
        <is>
          <t>Hormuz normal crude exit</t>
        </is>
      </c>
      <c r="B2" s="7" t="n">
        <v>15</v>
      </c>
      <c r="C2" s="6" t="inlineStr">
        <is>
          <t>prewar baseline</t>
        </is>
      </c>
    </row>
    <row r="3">
      <c r="A3" s="6" t="inlineStr">
        <is>
          <t>Bypass ceiling</t>
        </is>
      </c>
      <c r="B3" s="7" t="n">
        <v>6.5</v>
      </c>
      <c r="C3" s="6" t="inlineStr">
        <is>
          <t>port-gated, not pipeline-gated</t>
        </is>
      </c>
    </row>
    <row r="4">
      <c r="A4" s="6" t="inlineStr">
        <is>
          <t xml:space="preserve">  Yanbu / Petroline (Red Sea)</t>
        </is>
      </c>
      <c r="B4" s="7" t="n">
        <v>4</v>
      </c>
      <c r="C4" s="6" t="inlineStr">
        <is>
          <t>~70% of all bypass; Yanbu port-limited</t>
        </is>
      </c>
    </row>
    <row r="5">
      <c r="A5" s="6" t="inlineStr">
        <is>
          <t xml:space="preserve">  Fujairah / ADCOP (Gulf of Oman)</t>
        </is>
      </c>
      <c r="B5" s="7" t="n">
        <v>1.5</v>
      </c>
      <c r="C5" s="6" t="inlineStr">
        <is>
          <t>true bypass; terminal at strait mouth</t>
        </is>
      </c>
    </row>
    <row r="6">
      <c r="A6" s="6" t="inlineStr">
        <is>
          <t xml:space="preserve">  Kirkuk-Ceyhan (Med)</t>
        </is>
      </c>
      <c r="B6" s="7" t="n">
        <v>0.2</v>
      </c>
      <c r="C6" s="6" t="inlineStr">
        <is>
          <t>north-only; near-zero true relief</t>
        </is>
      </c>
    </row>
    <row r="7">
      <c r="A7" s="6" t="inlineStr">
        <is>
          <t xml:space="preserve">  Goreh-Jask</t>
        </is>
      </c>
      <c r="B7" s="7" t="n">
        <v>0</v>
      </c>
      <c r="C7" s="6" t="inlineStr">
        <is>
          <t>idle since 2024</t>
        </is>
      </c>
    </row>
    <row r="8">
      <c r="A8" s="6" t="inlineStr">
        <is>
          <t>Hormuz actual flow (now)</t>
        </is>
      </c>
      <c r="B8" s="7" t="n">
        <v>4.8</v>
      </c>
      <c r="C8" s="6" t="inlineStr">
        <is>
          <t>contested-but-flowing</t>
        </is>
      </c>
    </row>
    <row r="9">
      <c r="A9" s="6" t="inlineStr">
        <is>
          <t>Stranded (end-state)</t>
        </is>
      </c>
      <c r="B9" s="7" t="n">
        <v>4.5</v>
      </c>
      <c r="C9" s="6">
        <f> 15 - bypass 5.7 - Hormuz 4.8; reversible escort transits discounted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42" customWidth="1" min="4" max="4"/>
  </cols>
  <sheetData>
    <row r="1">
      <c r="A1" s="5" t="inlineStr">
        <is>
          <t>Week of</t>
        </is>
      </c>
      <c r="B1" s="5" t="inlineStr">
        <is>
          <t>OECD stock (mb)</t>
        </is>
      </c>
      <c r="C1" s="5" t="inlineStr">
        <is>
          <t>US SPR (mb)</t>
        </is>
      </c>
      <c r="D1" s="5" t="inlineStr">
        <is>
          <t>Marker</t>
        </is>
      </c>
    </row>
    <row r="2">
      <c r="A2" s="7" t="inlineStr">
        <is>
          <t>27 Feb</t>
        </is>
      </c>
      <c r="B2" s="7" t="n">
        <v>4100</v>
      </c>
      <c r="C2" s="7" t="n">
        <v>411</v>
      </c>
      <c r="D2" s="6" t="inlineStr">
        <is>
          <t>Eve of war</t>
        </is>
      </c>
    </row>
    <row r="3">
      <c r="A3" s="7" t="inlineStr">
        <is>
          <t>13 Mar</t>
        </is>
      </c>
      <c r="B3" s="7" t="n">
        <v>4064</v>
      </c>
      <c r="C3" s="7" t="n">
        <v>411</v>
      </c>
      <c r="D3" s="6" t="inlineStr">
        <is>
          <t>IEA 400 mb release decided</t>
        </is>
      </c>
    </row>
    <row r="4">
      <c r="A4" s="7" t="inlineStr">
        <is>
          <t>03 Apr</t>
        </is>
      </c>
      <c r="B4" s="7" t="n">
        <v>4000</v>
      </c>
      <c r="C4" s="7" t="n">
        <v>400.9</v>
      </c>
      <c r="D4" s="6" t="inlineStr">
        <is>
          <t>Global Apr draw -74 mb</t>
        </is>
      </c>
    </row>
    <row r="5">
      <c r="A5" s="7" t="inlineStr">
        <is>
          <t>08 May</t>
        </is>
      </c>
      <c r="B5" s="7" t="n">
        <v>3825</v>
      </c>
      <c r="C5" s="7" t="n">
        <v>384.1</v>
      </c>
      <c r="D5" s="6" t="inlineStr">
        <is>
          <t>Record weekly SPR draw 8.6 mb</t>
        </is>
      </c>
    </row>
    <row r="6">
      <c r="A6" s="7" t="inlineStr">
        <is>
          <t>15 May</t>
        </is>
      </c>
      <c r="B6" s="7" t="n">
        <v>3787</v>
      </c>
      <c r="C6" s="7" t="n">
        <v>374.2</v>
      </c>
      <c r="D6" s="6" t="inlineStr">
        <is>
          <t>All-time record weekly draw 9.92 mb</t>
        </is>
      </c>
    </row>
    <row r="7">
      <c r="A7" s="7" t="inlineStr">
        <is>
          <t>29 May</t>
        </is>
      </c>
      <c r="B7" s="7" t="n">
        <v>3711</v>
      </c>
      <c r="C7" s="7" t="n">
        <v>357.1</v>
      </c>
      <c r="D7" s="6" t="inlineStr">
        <is>
          <t>OECD govt stocks lowest since Dec 1990</t>
        </is>
      </c>
    </row>
    <row r="8">
      <c r="A8" s="7" t="inlineStr">
        <is>
          <t>19 Jun</t>
        </is>
      </c>
      <c r="B8" s="7" t="n">
        <v>3598</v>
      </c>
      <c r="C8" s="7" t="n">
        <v>331.2</v>
      </c>
      <c r="D8" s="6" t="inlineStr">
        <is>
          <t>Lowest since 1983; ~46% of action drawn</t>
        </is>
      </c>
    </row>
    <row r="9">
      <c r="A9" s="7" t="inlineStr">
        <is>
          <t>26 Jun</t>
        </is>
      </c>
      <c r="B9" s="7" t="n">
        <v>3560</v>
      </c>
      <c r="C9" s="7" t="n">
        <v>331.2</v>
      </c>
      <c r="D9" s="6" t="inlineStr">
        <is>
          <t>As-of; Brent $74.43; no build week yet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38" customWidth="1" min="4" max="4"/>
  </cols>
  <sheetData>
    <row r="1">
      <c r="A1" s="5" t="inlineStr"/>
      <c r="B1" s="5" t="inlineStr">
        <is>
          <t>S1 — Reopen-fast</t>
        </is>
      </c>
      <c r="C1" s="5" t="inlineStr">
        <is>
          <t>S2 — Contested-grinding (base)</t>
        </is>
      </c>
      <c r="D1" s="5" t="inlineStr">
        <is>
          <t>S3 — Reclose-hard</t>
        </is>
      </c>
    </row>
    <row r="2">
      <c r="A2" s="17" t="inlineStr">
        <is>
          <t>Trigger</t>
        </is>
      </c>
      <c r="B2" s="7" t="inlineStr">
        <is>
          <t>Ceasefire converts to settlement; IRGC lifts closure/escort</t>
        </is>
      </c>
      <c r="C2" s="7" t="inlineStr">
        <is>
          <t>Ceasefire holds but doesn't convert; flow ~4.8 reversible</t>
        </is>
      </c>
      <c r="D2" s="7" t="inlineStr">
        <is>
          <t>Ceasefire collapses; physical enforcement / mining</t>
        </is>
      </c>
    </row>
    <row r="3">
      <c r="A3" s="17" t="inlineStr">
        <is>
          <t>Reserve trajectory</t>
        </is>
      </c>
      <c r="B3" s="7" t="inlineStr">
        <is>
          <t>Draw stops then reverses; SPR slow refill</t>
        </is>
      </c>
      <c r="C3" s="7" t="inlineStr">
        <is>
          <t>Slow continued draw; SPR ~1.29-&gt;0.72 mb/d; rho ~0.20</t>
        </is>
      </c>
      <c r="D3" s="7" t="inlineStr">
        <is>
          <t>Draw re-accelerates; Gulf re-strands; rho still &lt;&lt;1</t>
        </is>
      </c>
    </row>
    <row r="4">
      <c r="A4" s="17" t="inlineStr">
        <is>
          <t>Brent path</t>
        </is>
      </c>
      <c r="B4" s="7" t="inlineStr">
        <is>
          <t>$60-68</t>
        </is>
      </c>
      <c r="C4" s="7" t="inlineStr">
        <is>
          <t>$70-85 range, headline spikes decay</t>
        </is>
      </c>
      <c r="D4" s="7" t="inlineStr">
        <is>
          <t>Re-rate toward/above $120</t>
        </is>
      </c>
    </row>
    <row r="5">
      <c r="A5" s="17" t="inlineStr">
        <is>
          <t>Restock</t>
        </is>
      </c>
      <c r="B5" s="7" t="inlineStr">
        <is>
          <t>Multi-quarter, bypass-gated; SPR refill ~3-4 yr</t>
        </is>
      </c>
      <c r="C5" s="7" t="inlineStr">
        <is>
          <t>No restock — net draw continues</t>
        </is>
      </c>
      <c r="D5" s="7" t="inlineStr">
        <is>
          <t>Indefinitely deferred; none in 2026</t>
        </is>
      </c>
    </row>
    <row r="6">
      <c r="A6" s="17" t="inlineStr">
        <is>
          <t>Reserve hard clock</t>
        </is>
      </c>
      <c r="B6" s="7" t="inlineStr">
        <is>
          <t>n/a — draw halts</t>
        </is>
      </c>
      <c r="C6" s="7" t="inlineStr">
        <is>
          <t>~150 mb operational floor ~Nov 26 at acute rate</t>
        </is>
      </c>
      <c r="D6" s="7" t="inlineStr">
        <is>
          <t>US SPR-&gt;150 mb ~5 Nov 26; OECD authorization ~11 Nov 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8" t="inlineStr">
        <is>
          <t>FOOTNOTES &amp; LIMITATIONS</t>
        </is>
      </c>
    </row>
    <row r="2">
      <c r="A2" s="2" t="inlineStr"/>
    </row>
    <row r="3">
      <c r="A3" s="2" t="inlineStr">
        <is>
          <t>F-rho: rho = producer build / consumer draw = 120/615 = 0.195. Verdict insensitive: rho&lt;0.3 across plausible range.</t>
        </is>
      </c>
    </row>
    <row r="4">
      <c r="A4" s="2" t="inlineStr">
        <is>
          <t>F-at-risk: Eff. at-risk cover = days x (1 - Hormuz-dep) is a WORST-CASE zero-replacement BOUND, not a coverage estimate.</t>
        </is>
      </c>
    </row>
    <row r="5">
      <c r="A5" s="2" t="inlineStr">
        <is>
          <t xml:space="preserve">   Japan/Korea 20.5 and Philippines 2.3 are scare-bounds; realistic effective cover is materially higher for diversifiers.</t>
        </is>
      </c>
    </row>
    <row r="6">
      <c r="A6" s="2" t="inlineStr">
        <is>
          <t>F-netexporter: USA &amp; Netherlands carry '-' on IEA net-import basis (denominator &lt;=0). USA alt: SPR-only ~63d, crude ~129d, total ~259d vs gross imports.</t>
        </is>
      </c>
    </row>
    <row r="7">
      <c r="A7" s="2" t="inlineStr">
        <is>
          <t>F-Vietnam: published 40.3d (D-basis) diverges &gt;15% from model (~16d). Both shown; headline=higher tier; not averaged.</t>
        </is>
      </c>
    </row>
    <row r="8">
      <c r="A8" s="2" t="inlineStr">
        <is>
          <t>F-Thailand/Indonesia: Thailand 117 bundles strategic+commercial+in-transit+contracted; hard on-ground ~56d. Indonesia capacity-capped ~25d.</t>
        </is>
      </c>
    </row>
    <row r="9">
      <c r="A9" s="2" t="inlineStr">
        <is>
          <t>F-Qatar: producer block downgraded Inferred-&gt;Modelled-EST (self-disclosed tankage + Wikipedia spec overreached the tag).</t>
        </is>
      </c>
    </row>
    <row r="10">
      <c r="A10" s="2" t="inlineStr">
        <is>
          <t>F-ledger: original decomposition double-counted (472+615+410 overshot gap by 25%). Corrected to single MECE identity; residual -177 mb (~15%).</t>
        </is>
      </c>
    </row>
    <row r="11">
      <c r="A11" s="2" t="inlineStr">
        <is>
          <t>F-foregone: flat 9.2 mb/d x118d = 1,080 mb is indefensible vs flow data; time-weighted ~700-850 mb. REFUTED survives.</t>
        </is>
      </c>
    </row>
    <row r="12">
      <c r="A12" s="3" t="inlineStr">
        <is>
          <t>F-verification: NOT fully independent. IEA OMR / EIA weekly hosts were egress-proxy-403-blocked; anchors are WIRE-ATTRIBUTED (one tier below Verified).</t>
        </is>
      </c>
    </row>
    <row r="13">
      <c r="A13" s="2" t="inlineStr">
        <is>
          <t xml:space="preserve">   Re-pull iea.org / eia.gov directly before external use. Self-citation guard held (hormuzstraitmonitor.com / straits.live excluded).</t>
        </is>
      </c>
    </row>
    <row r="14">
      <c r="A14" s="2" t="inlineStr">
        <is>
          <t>F-redteam: isolated red team raised 10 substantive attacks; all addressed in-run. Verify verdict: ship.</t>
        </is>
      </c>
    </row>
    <row r="15">
      <c r="A15" s="2" t="inlineStr"/>
    </row>
    <row r="16">
      <c r="A16" s="2" t="inlineStr">
        <is>
          <t>Provenance: workflow run wf_9642a98b-45e, 52 agents, ~1.9M tokens, as-of 26 Jun 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2026-06-26T14:29:28Z</dcterms:created>
  <dcterms:modified xsi:type="dcterms:W3CDTF">2026-06-26T14:29:28Z</dcterms:modified>
</cp:coreProperties>
</file>