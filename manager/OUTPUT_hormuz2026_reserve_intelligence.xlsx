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Consumer" sheetId="2" r:id="rId2"/>
    <sheet name="Producer" sheetId="3" r:id="rId3"/>
    <sheet name="Key Indicators" sheetId="4" r:id="rId4"/>
    <sheet name="Ledger" sheetId="5" r:id="rId5"/>
    <sheet name="Throughput" sheetId="6" r:id="rId6"/>
    <sheet name="Trajectory" sheetId="7" r:id="rId7"/>
    <sheet name="Scenarios" sheetId="8" r:id="rId8"/>
    <sheet name="Footnotes" sheetId="9" r:id="rId9"/>
  </sheets>
  <calcPr calcId="124519" fullCalcOnLoad="1"/>
</workbook>
</file>

<file path=xl/sharedStrings.xml><?xml version="1.0" encoding="utf-8"?>
<sst xmlns="http://schemas.openxmlformats.org/spreadsheetml/2006/main" count="282" uniqueCount="209">
  <si>
    <t>Hormuz 2026 — Crude Reserve, Redistribution &amp; Restocking Intelligence</t>
  </si>
  <si>
    <t>As-of: 26 Jun 2026  |  War start 28 Feb 2026  |  Window T = 118 days  |  Brent ~$72  |  Hormuz contested-but-flowing ~4.8 mb/d</t>
  </si>
  <si>
    <t>THESIS VERDICT: the 'reserves are conserved, just redistributed producer-side' hypothesis is REFUTED (strong form).</t>
  </si>
  <si>
    <t xml:space="preserve">  rho = producer build / consumer draw = 120 / 615 = 0.195  (band 0.15-0.26; an order of magnitude below conservation = 1.0).</t>
  </si>
  <si>
    <t xml:space="preserve">  Mechanism: Gulf tankage saturated in ~1-2 weeks, so blocked output was SHUT IN at the wellhead (~700-1,080 mb), not stockpiled.</t>
  </si>
  <si>
    <t>LIVE FORMULAS: every computed cell is a real Excel formula. Edit a 'days' value and months/deltas/at-risk/rho recompute.</t>
  </si>
  <si>
    <t xml:space="preserve">  Months = days / 30.44   |   Delta days = Today - Before   |   Delta % = (Today - Before) / Before</t>
  </si>
  <si>
    <t xml:space="preserve">  Eff. at-risk cover = Today days x (1 - Hormuz-dependence)   [worst-case zero-replacement BOUND, not a coverage estimate]</t>
  </si>
  <si>
    <t xml:space="preserve">  rho (Ledger sheet) = Producer build / Consumer draw</t>
  </si>
  <si>
    <t>CONFIDENCE LADDER:  Verified-official &gt; Inferred-triangulated &gt; Modelled-EST &gt; Absent('-').  A model is at most ONE source class.</t>
  </si>
  <si>
    <t>UPDATE 29 Jun 26: ALL 9 sheets reviewed/RE-VERIFIED vs IEA OMR, EIA, Eurostat, Kpler &amp; Columbia CGEP (Consumer, Key Ind, Producer, Trajectory, Ledger, Throughput, Scenarios).</t>
  </si>
  <si>
    <t xml:space="preserve">  Verified = flow RATES + EIA weekly SPR series + bypass/throughput. Cumulative-mb ledger legs stay Inferred/EST; OECD weekly = Modelled-EST (no weekly series).</t>
  </si>
  <si>
    <t xml:space="preserve">  EU stocks sit flat at the ~90d legal floor (net imports fell with stocks). India=EST; China/PH/ID/VN have no official series ('-').</t>
  </si>
  <si>
    <t>CAVEAT: Scenarios are forward PROJECTIONS (Modelled-EST), not data; price anchors map to the named bench. Re-pull primary IEA/EIA before quoting any decimal externally.</t>
  </si>
  <si>
    <t>Sheets:  Consumer | Producer | Key Indicators | Ledger | Throughput | Trajectory | Scenarios | Footnotes</t>
  </si>
  <si>
    <t>Country</t>
  </si>
  <si>
    <t>Before (days)</t>
  </si>
  <si>
    <t>Before (months)</t>
  </si>
  <si>
    <t>Today (days)</t>
  </si>
  <si>
    <t>Today (months)</t>
  </si>
  <si>
    <t>Δ days</t>
  </si>
  <si>
    <t>Δ %</t>
  </si>
  <si>
    <t>Hormuz-dep %</t>
  </si>
  <si>
    <t>Eff. at-risk cover</t>
  </si>
  <si>
    <t>Confidence</t>
  </si>
  <si>
    <t>Source &amp; Date</t>
  </si>
  <si>
    <t>USA</t>
  </si>
  <si>
    <t>-</t>
  </si>
  <si>
    <t>Absent</t>
  </si>
  <si>
    <t>EIA WPSR / IEA OMR May-26; net-exporter, metric undefined</t>
  </si>
  <si>
    <t>Germany</t>
  </si>
  <si>
    <t>Verified-official</t>
  </si>
  <si>
    <t>Eurostat nrg_stk_oem, Dec-25-&gt;May-26 (~90d legal floor)</t>
  </si>
  <si>
    <t>France</t>
  </si>
  <si>
    <t>Eurostat nrg_stk_oem, Dec-25-&gt;May-26</t>
  </si>
  <si>
    <t>UK</t>
  </si>
  <si>
    <t>Inferred-triangulated</t>
  </si>
  <si>
    <t>GOV.UK/IEA/Al Jazeera, Mar 26</t>
  </si>
  <si>
    <t>Italy</t>
  </si>
  <si>
    <t>Spain</t>
  </si>
  <si>
    <t>Netherlands</t>
  </si>
  <si>
    <t>Eurostat nrg_stk_oem (days-equiv), Dec-25-&gt;May-26</t>
  </si>
  <si>
    <t>Poland</t>
  </si>
  <si>
    <t>Japan</t>
  </si>
  <si>
    <t>IEA oil-stocks tool, ~200d net-import, Mar-26</t>
  </si>
  <si>
    <t>South Korea</t>
  </si>
  <si>
    <t>IEA oil-stocks tool, ~208d net-import, Mar-26; govt-only ~34d</t>
  </si>
  <si>
    <t>China</t>
  </si>
  <si>
    <t>No official net-import days series (NBS) — excluded</t>
  </si>
  <si>
    <t>India</t>
  </si>
  <si>
    <t>Modelled-EST</t>
  </si>
  <si>
    <t>EST: govt ~60d (BusinessToday May-26); SPR 9-10d; +commercial 40-45d (Kpler)</t>
  </si>
  <si>
    <t>Thailand</t>
  </si>
  <si>
    <t>Thai Energy Min, 1 May 26 (108d total; on-ground ~49d)</t>
  </si>
  <si>
    <t>Philippines</t>
  </si>
  <si>
    <t>No comparable net-import days series (DOE demand-cover only) — excluded</t>
  </si>
  <si>
    <t>Indonesia</t>
  </si>
  <si>
    <t>No official net-import days series (ESDM) — excluded</t>
  </si>
  <si>
    <t>Vietnam</t>
  </si>
  <si>
    <t>No official days-of-cover series (MOIT) — excluded</t>
  </si>
  <si>
    <t>Export-cover days (deployable)</t>
  </si>
  <si>
    <t>Export-cover days (total)</t>
  </si>
  <si>
    <t>Usable in-Hormuz (mb)</t>
  </si>
  <si>
    <t>Usable out-Hormuz (mb)</t>
  </si>
  <si>
    <t>Usable abroad (mb)</t>
  </si>
  <si>
    <t>Storage-util %</t>
  </si>
  <si>
    <t>Bypass-adj export (mb/d)</t>
  </si>
  <si>
    <t>Shut-in (mb/d)</t>
  </si>
  <si>
    <t>Saudi Arabia</t>
  </si>
  <si>
    <t>Shut-in ~2.0 (Bloomberg 9 Mar, V); Yanbu bypass ~4.5 (Fortune 28 Mar, V); storage/floating in Gulf aggregate</t>
  </si>
  <si>
    <t>UAE</t>
  </si>
  <si>
    <t>Fujairah/ADCOP 1.62 mb/d Mar (Kpler, V); UAE shut-in within Gulf aggregate (EIA), no country figure</t>
  </si>
  <si>
    <t>Iran</t>
  </si>
  <si>
    <t>Storage ~74% Kharg (Columbia CGEP 28 Apr); floating ~127-147 mb (Kpler 24 Jun); shut-in ~2.5 (Goldman); no bypass (blockade 13 Apr)</t>
  </si>
  <si>
    <t>Iraq</t>
  </si>
  <si>
    <t>Shut-in ~1.5 (Reuters 3 Mar, V); Kirkuk-Ceyhan ~0.25 (The National 16 Mar, V); tanks full (qual.)</t>
  </si>
  <si>
    <t>Kuwait</t>
  </si>
  <si>
    <t>Force majeure 20 Apr (WorldOil, V); shut-in mb/d inferred (no exact figure); no bypass line</t>
  </si>
  <si>
    <t>Qatar</t>
  </si>
  <si>
    <t>Force majeure all exports 3 Mar (V); crude shut-in mb/d not individually published; no bypass</t>
  </si>
  <si>
    <t>Indicator</t>
  </si>
  <si>
    <t>Prewar / Before</t>
  </si>
  <si>
    <t>Peak</t>
  </si>
  <si>
    <t>Now (26 Jun)</t>
  </si>
  <si>
    <t>Note</t>
  </si>
  <si>
    <t>Brent ($/bbl)</t>
  </si>
  <si>
    <t>$72 (27 Feb); $65 late-25 anchor</t>
  </si>
  <si>
    <t>~$120</t>
  </si>
  <si>
    <t>$72 (26 Jun)</t>
  </si>
  <si>
    <t>Verified — Trading Economics/Fortune, 26 Jun 26 (low since 27 Feb)</t>
  </si>
  <si>
    <t>US SPR (mb)</t>
  </si>
  <si>
    <t>411 (31 Dec 25)</t>
  </si>
  <si>
    <t>331 (19 Jun)</t>
  </si>
  <si>
    <t>Verified — EIA WPSR; 46.4% of ~714 nameplate; lowest since 1983</t>
  </si>
  <si>
    <t>IEA collective release (mb)</t>
  </si>
  <si>
    <t>400 auth / ~165 exec</t>
  </si>
  <si>
    <t>auth 11 Mar; ~165 mb executed (EST) = OECD govt draw ~163 (IEA OMR Jun); US ~75-80 realized</t>
  </si>
  <si>
    <t>VLCC ($/day MEG-China)</t>
  </si>
  <si>
    <t>~$55k</t>
  </si>
  <si>
    <t>~$423-470k</t>
  </si>
  <si>
    <t>~$179,600</t>
  </si>
  <si>
    <t>still &gt;3x prewar</t>
  </si>
  <si>
    <t>War-risk hull premium</t>
  </si>
  <si>
    <t>0.10-0.25%</t>
  </si>
  <si>
    <t>2.5-5%</t>
  </si>
  <si>
    <t>0.3-0.5%</t>
  </si>
  <si>
    <t>eased post-ceasefire; reversible</t>
  </si>
  <si>
    <t>Hormuz flow (mb/d)</t>
  </si>
  <si>
    <t>~15</t>
  </si>
  <si>
    <t>4.8</t>
  </si>
  <si>
    <t>Verified — Kpler/Reuters; contested-but-flowing; ~32% of prewar, recovering</t>
  </si>
  <si>
    <t>GLOBAL REDISTRIBUTION LEDGER — thesis test (all mb, window T=118d)</t>
  </si>
  <si>
    <t>Leg</t>
  </si>
  <si>
    <t>mb</t>
  </si>
  <si>
    <t>Consumer / strategic stock draw</t>
  </si>
  <si>
    <t>EST cumulative; rate V: global -3.8 mb/d, OECD govt -163 mb (IEA OMR Jun); incl ~80 SPR realized</t>
  </si>
  <si>
    <t>Demand destruction</t>
  </si>
  <si>
    <t>rate V: 2Q26 deliveries -5 mb/d y/y (IEA OMR Jun); x~94d -&gt; EST cumulative</t>
  </si>
  <si>
    <t>Atlantic substitution (in)</t>
  </si>
  <si>
    <t>rate V: +3.5 mb/d East-of-Suez (IEA OMR Jun) x118d=413; REALLOCATION not new supply (don't sum as absorption)</t>
  </si>
  <si>
    <t>Producer build (stranded)</t>
  </si>
  <si>
    <t>EST: floating ~100 (Kpler ~67-100 stranded in Gulf, 24 Jun) + onshore ~20 modelled</t>
  </si>
  <si>
    <t>Foregone output (shut-in)</t>
  </si>
  <si>
    <t>EST; rate V: Gulf shut-in 7.5(Mar)-&gt;9.1(Apr) mb/d (MEES/EIA); time-weighted ~700-850 (flat ~1,080)</t>
  </si>
  <si>
    <t>rho = Producer build / Consumer draw</t>
  </si>
  <si>
    <t>REFUTED if &lt;&lt; 1  (conservation threshold = 1.0)</t>
  </si>
  <si>
    <t>War supply gap (mb)</t>
  </si>
  <si>
    <t>Canonical observed net draw (mb)</t>
  </si>
  <si>
    <t>Identity: Demand-destruction + observed draw + Atlantic</t>
  </si>
  <si>
    <t>Reconciliation residual (gap - identity)</t>
  </si>
  <si>
    <t>~ -177 mb (~15%) = the 615-vs-495 error bar</t>
  </si>
  <si>
    <t>Quantity</t>
  </si>
  <si>
    <t>mb/d</t>
  </si>
  <si>
    <t>Hormuz normal crude exit</t>
  </si>
  <si>
    <t>prewar baseline (EIA, V)</t>
  </si>
  <si>
    <t>Bypass ceiling</t>
  </si>
  <si>
    <t>realized ~5.7 mb/d; port-gated not pipeline-gated (V)</t>
  </si>
  <si>
    <t xml:space="preserve">  Yanbu / Petroline (Red Sea)</t>
  </si>
  <si>
    <t>Fortune 28 Mar (V); 7 mb/d pipe but Yanbu port caps ~4; ~70% of bypass</t>
  </si>
  <si>
    <t xml:space="preserve">  Fujairah / ADCOP (Gulf of Oman)</t>
  </si>
  <si>
    <t>Kpler 1.62 mb/d Mar (V); true bypass at strait mouth</t>
  </si>
  <si>
    <t xml:space="preserve">  Kirkuk-Ceyhan (Med)</t>
  </si>
  <si>
    <t>The National 16 Mar (V); north-only, near-zero true relief</t>
  </si>
  <si>
    <t xml:space="preserve">  Goreh-Jask</t>
  </si>
  <si>
    <t>idle since 2024 (V)</t>
  </si>
  <si>
    <t>Hormuz actual flow (now)</t>
  </si>
  <si>
    <t>Kpler/Reuters late-Jun (V); contested-but-flowing, recovering</t>
  </si>
  <si>
    <t>Stranded (end-state)</t>
  </si>
  <si>
    <t>Week of</t>
  </si>
  <si>
    <t>OECD stock (mb)</t>
  </si>
  <si>
    <t>Marker</t>
  </si>
  <si>
    <t>27 Feb</t>
  </si>
  <si>
    <t>Eve of war (SPR=EIA WCSSTUS1, V)</t>
  </si>
  <si>
    <t>13 Mar</t>
  </si>
  <si>
    <t>IEA 400 mb release decided; SPR still untouched</t>
  </si>
  <si>
    <t>03 Apr</t>
  </si>
  <si>
    <t>First meaningful SPR draws begin</t>
  </si>
  <si>
    <t>08 May</t>
  </si>
  <si>
    <t>SPR draw accelerating ~8-10 mb/wk</t>
  </si>
  <si>
    <t>15 May</t>
  </si>
  <si>
    <t>OECD GOVERNMENT stocks lowest since Dec 1990 (IEA)</t>
  </si>
  <si>
    <t>29 May</t>
  </si>
  <si>
    <t>SPR -8.0 mb on the week</t>
  </si>
  <si>
    <t>19 Jun</t>
  </si>
  <si>
    <t>Latest PUBLISHED EIA week; SPR -84 mb from prewar peak</t>
  </si>
  <si>
    <t>26 Jun</t>
  </si>
  <si>
    <t>wk not yet published (EIA ~1 Jul); SPR carried flat at 19-Jun</t>
  </si>
  <si>
    <t>SPR = EIA WCSSTUS1 weekly (Verified-official). OECD weekly = Modelled-EST off real IEA monthly anchors (no weekly OECD series).</t>
  </si>
  <si>
    <t>Inflection: NOT yet turned — SPR falls every PUBLISHED print through 19 Jun; wk-ending 26 Jun not yet released by EIA.</t>
  </si>
  <si>
    <t>S1 — Reopen-fast</t>
  </si>
  <si>
    <t>S2 — Contested-grinding (base)</t>
  </si>
  <si>
    <t>S3 — Reclose-hard</t>
  </si>
  <si>
    <t>Trigger</t>
  </si>
  <si>
    <t>Ceasefire converts to settlement; IRGC lifts closure</t>
  </si>
  <si>
    <t>Ceasefire holds, doesn't convert; flow ~4.8 reversible</t>
  </si>
  <si>
    <t>Ceasefire collapses; physical enforcement / mining</t>
  </si>
  <si>
    <t>Reserves</t>
  </si>
  <si>
    <t>Draw stops then reverses; SPR slow refill</t>
  </si>
  <si>
    <t>Slow continued draw; SPR 1.29-&gt;0.72 mb/d; rho ~0.20</t>
  </si>
  <si>
    <t>Draw re-accelerates; Gulf re-strands; rho still &lt;&lt;1</t>
  </si>
  <si>
    <t>Brent</t>
  </si>
  <si>
    <t>$64-75 (JPM/GS '27 bench)</t>
  </si>
  <si>
    <t>$70-85; now ~$72 (deal-holds bench)</t>
  </si>
  <si>
    <t>$105-130 (Rapidan ~$130 peak; RBC)</t>
  </si>
  <si>
    <t>Restock</t>
  </si>
  <si>
    <t>Multi-quarter, bypass-gated; SPR ~3-4 yr</t>
  </si>
  <si>
    <t>No restock - net draw continues</t>
  </si>
  <si>
    <t>Indefinitely deferred; none in 2026</t>
  </si>
  <si>
    <t>Reserve hard clock</t>
  </si>
  <si>
    <t>n/a - draw halts</t>
  </si>
  <si>
    <t>~150 mb floor ~Nov 26 at acute rate</t>
  </si>
  <si>
    <t>US SPR-&gt;150 mb ~5 Nov 26; OECD action ~11 Nov 26</t>
  </si>
  <si>
    <t>These are forward PROJECTIONS (Modelled-EST), not verified data. Price anchors map to the named bench:</t>
  </si>
  <si>
    <t>JPMorgan ~$64 (2027) / Goldman ~$75 / Morgan Stanley ~$80 (deal-holds); Rapidan ~$130 peak / RBC 'risk underpriced' (reclose). Reserve hard-clock dates are EST extrapolations of the acute draw rate.</t>
  </si>
  <si>
    <t>FOOTNOTES &amp; LIMITATIONS</t>
  </si>
  <si>
    <t>rho = producer build / consumer draw = 120/615 = 0.195. Verdict insensitive: rho&lt;0.3 across plausible range.</t>
  </si>
  <si>
    <t>Eff. at-risk cover = days x (1 - Hormuz-dep) is a WORST-CASE zero-replacement BOUND, not a coverage estimate.</t>
  </si>
  <si>
    <t xml:space="preserve">   Japan/Korea 20.5 and Philippines 2.3 are scare-bounds; realistic effective cover is materially higher for diversifiers.</t>
  </si>
  <si>
    <t>Net-exporters (USA, Netherlands) carry '-' on IEA net-import basis. USA alt: SPR-only ~63d, crude ~129d, total ~259d vs gross imports.</t>
  </si>
  <si>
    <t>Vietnam: published 40.3d (D-basis) diverges &gt;15% from model (~16d). Both shown; headline=higher tier; not averaged.</t>
  </si>
  <si>
    <t>Thailand 117 bundles strategic+commercial+in-transit+contracted; hard on-ground ~56d. Indonesia capacity-capped ~25d.</t>
  </si>
  <si>
    <t>Qatar producer block downgraded Inferred-&gt;Modelled-EST (self-disclosed tankage + Wikipedia spec).</t>
  </si>
  <si>
    <t>Ledger: original decomposition double-counted; corrected to single identity; residual -177 mb (~15%).</t>
  </si>
  <si>
    <t>Foregone output: flat 9.2 mb/d x118d = 1,080 mb indefensible vs flow data; time-weighted ~700-850 mb. REFUTED survives.</t>
  </si>
  <si>
    <t>RE-VERIFICATION 29 Jun 26: flow RATES confirmed vs IEA OMR Jun (global -3.8, demand -5, Atlantic +3.5 mb/d; OECD govt -163 mb) &amp; EIA WPSR (SPR 415-&gt;331). Cumulative-mb conversions remain analyst constructs (Inferred/EST).</t>
  </si>
  <si>
    <t>Ledger tensions: 1,200 gap balances ONLY against flat-rate shut-in (1,080+120); with time-weighted shut-in (~775) effective gap is ~820-970. Observed net draw 495 runs ~10-15% hotter than IEA's literal 3.8 mb/d pace (~448). Atlantic substitution is reallocation, not a 3rd absorption term.</t>
  </si>
  <si>
    <t>Producer storage-util % is country-specific ONLY for Iran (~74%, CGEP); others are 'tanks full' qualitative. Floating storage disaggregated only for Iran (Kpler); Kuwait/Qatar crude shut-in mb/d never individually published.</t>
  </si>
  <si>
    <t>Isolated red team raised 10 substantive attacks; all addressed in-run. Verify verdict: ship.</t>
  </si>
  <si>
    <t>Provenance: workflow run wf_9642a98b-45e, 52 agents, ~1.9M tokens, as-of 26 Jun 2026.</t>
  </si>
</sst>
</file>

<file path=xl/styles.xml><?xml version="1.0" encoding="utf-8"?>
<styleSheet xmlns="http://schemas.openxmlformats.org/spreadsheetml/2006/main">
  <numFmts count="4">
    <numFmt numFmtId="164" formatCode="0%"/>
    <numFmt numFmtId="165" formatCode="0.0"/>
    <numFmt numFmtId="166" formatCode="0.0%"/>
    <numFmt numFmtId="167" formatCode="0.000"/>
  </numFmts>
  <fonts count="8">
    <font>
      <sz val="11"/>
      <color theme="1"/>
      <name val="Calibri"/>
      <family val="2"/>
      <scheme val="minor"/>
    </font>
    <font>
      <b/>
      <sz val="14"/>
      <color rgb="FF0B1F2A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E2B25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E2B2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F2A"/>
        <bgColor indexed="64"/>
      </patternFill>
    </fill>
    <fill>
      <patternFill patternType="solid">
        <fgColor rgb="FFE6EAED"/>
        <bgColor indexed="64"/>
      </patternFill>
    </fill>
    <fill>
      <patternFill patternType="solid">
        <fgColor rgb="FFD6F0E0"/>
        <bgColor indexed="64"/>
      </patternFill>
    </fill>
    <fill>
      <patternFill patternType="solid">
        <fgColor rgb="FFFBEED2"/>
        <bgColor indexed="64"/>
      </patternFill>
    </fill>
    <fill>
      <patternFill patternType="solid">
        <fgColor rgb="FFF6D9C7"/>
        <bgColor indexed="64"/>
      </patternFill>
    </fill>
  </fills>
  <borders count="3">
    <border>
      <left/>
      <right/>
      <top/>
      <bottom/>
      <diagonal/>
    </border>
    <border>
      <left style="thin">
        <color rgb="FF3A5566"/>
      </left>
      <right style="thin">
        <color rgb="FF3A5566"/>
      </right>
      <top style="thin">
        <color rgb="FF3A5566"/>
      </top>
      <bottom style="thin">
        <color rgb="FF3A5566"/>
      </bottom>
      <diagonal/>
    </border>
    <border>
      <left style="thin">
        <color rgb="FFD5DDE2"/>
      </left>
      <right style="thin">
        <color rgb="FFD5DDE2"/>
      </right>
      <top style="thin">
        <color rgb="FFD5DDE2"/>
      </top>
      <bottom style="thin">
        <color rgb="FFD5DDE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0" borderId="0" xfId="0" applyFont="1"/>
    <xf numFmtId="167" fontId="7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Reserves still falling — no turn yet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OECD stock (mb)</c:v>
          </c:tx>
          <c:spPr>
            <a:ln>
              <a:solidFill>
                <a:srgbClr val="3FBECB"/>
              </a:solidFill>
            </a:ln>
          </c:spPr>
          <c:marker>
            <c:symbol val="none"/>
          </c:marker>
          <c:cat>
            <c:strRef>
              <c:f>Trajectory!$A$2:$A$9</c:f>
              <c:strCache>
                <c:ptCount val="8"/>
                <c:pt idx="0">
                  <c:v>27 Feb</c:v>
                </c:pt>
                <c:pt idx="1">
                  <c:v>13 Mar</c:v>
                </c:pt>
                <c:pt idx="2">
                  <c:v>03 Apr</c:v>
                </c:pt>
                <c:pt idx="3">
                  <c:v>08 May</c:v>
                </c:pt>
                <c:pt idx="4">
                  <c:v>15 May</c:v>
                </c:pt>
                <c:pt idx="5">
                  <c:v>29 May</c:v>
                </c:pt>
                <c:pt idx="6">
                  <c:v>19 Jun</c:v>
                </c:pt>
                <c:pt idx="7">
                  <c:v>26 Jun</c:v>
                </c:pt>
              </c:strCache>
            </c:strRef>
          </c:cat>
          <c:val>
            <c:numRef>
              <c:f>Trajectory!$B$2:$B$9</c:f>
              <c:numCache>
                <c:formatCode>General</c:formatCode>
                <c:ptCount val="8"/>
                <c:pt idx="0">
                  <c:v>4095</c:v>
                </c:pt>
                <c:pt idx="1">
                  <c:v>4035</c:v>
                </c:pt>
                <c:pt idx="2">
                  <c:v>3955</c:v>
                </c:pt>
                <c:pt idx="3">
                  <c:v>3800</c:v>
                </c:pt>
                <c:pt idx="4">
                  <c:v>3755</c:v>
                </c:pt>
                <c:pt idx="5">
                  <c:v>3680</c:v>
                </c:pt>
                <c:pt idx="6">
                  <c:v>3595</c:v>
                </c:pt>
                <c:pt idx="7">
                  <c:v>3555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US SPR (mb)</c:v>
          </c:tx>
          <c:spPr>
            <a:ln>
              <a:solidFill>
                <a:srgbClr val="F3A738"/>
              </a:solidFill>
            </a:ln>
          </c:spPr>
          <c:marker>
            <c:symbol val="none"/>
          </c:marker>
          <c:cat>
            <c:strRef>
              <c:f>Trajectory!$A$2:$A$9</c:f>
              <c:strCache>
                <c:ptCount val="8"/>
                <c:pt idx="0">
                  <c:v>27 Feb</c:v>
                </c:pt>
                <c:pt idx="1">
                  <c:v>13 Mar</c:v>
                </c:pt>
                <c:pt idx="2">
                  <c:v>03 Apr</c:v>
                </c:pt>
                <c:pt idx="3">
                  <c:v>08 May</c:v>
                </c:pt>
                <c:pt idx="4">
                  <c:v>15 May</c:v>
                </c:pt>
                <c:pt idx="5">
                  <c:v>29 May</c:v>
                </c:pt>
                <c:pt idx="6">
                  <c:v>19 Jun</c:v>
                </c:pt>
                <c:pt idx="7">
                  <c:v>26 Jun</c:v>
                </c:pt>
              </c:strCache>
            </c:strRef>
          </c:cat>
          <c:val>
            <c:numRef>
              <c:f>Trajectory!$C$2:$C$9</c:f>
              <c:numCache>
                <c:formatCode>General</c:formatCode>
                <c:ptCount val="8"/>
                <c:pt idx="0">
                  <c:v>415.4</c:v>
                </c:pt>
                <c:pt idx="1">
                  <c:v>415.4</c:v>
                </c:pt>
                <c:pt idx="2">
                  <c:v>413.3</c:v>
                </c:pt>
                <c:pt idx="3">
                  <c:v>384.1</c:v>
                </c:pt>
                <c:pt idx="4">
                  <c:v>374.2</c:v>
                </c:pt>
                <c:pt idx="5">
                  <c:v>357.1</c:v>
                </c:pt>
                <c:pt idx="6">
                  <c:v>331.2</c:v>
                </c:pt>
                <c:pt idx="7">
                  <c:v>331.2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cols>
    <col min="1" max="1" width="140.7109375" customWidth="1"/>
  </cols>
  <sheetData>
    <row r="1" spans="1:1">
      <c r="A1" s="1" t="s">
        <v>0</v>
      </c>
    </row>
    <row r="3" spans="1:1">
      <c r="A3" s="2"/>
    </row>
    <row r="4" spans="1:1">
      <c r="A4" s="2" t="s">
        <v>1</v>
      </c>
    </row>
    <row r="5" spans="1:1">
      <c r="A5" s="2"/>
    </row>
    <row r="6" spans="1:1">
      <c r="A6" s="3" t="s">
        <v>2</v>
      </c>
    </row>
    <row r="7" spans="1:1">
      <c r="A7" s="2" t="s">
        <v>3</v>
      </c>
    </row>
    <row r="8" spans="1:1">
      <c r="A8" s="2" t="s">
        <v>4</v>
      </c>
    </row>
    <row r="9" spans="1:1">
      <c r="A9" s="2"/>
    </row>
    <row r="10" spans="1:1">
      <c r="A10" s="4" t="s">
        <v>5</v>
      </c>
    </row>
    <row r="11" spans="1:1">
      <c r="A11" s="2" t="s">
        <v>6</v>
      </c>
    </row>
    <row r="12" spans="1:1">
      <c r="A12" s="2" t="s">
        <v>7</v>
      </c>
    </row>
    <row r="13" spans="1:1">
      <c r="A13" s="2" t="s">
        <v>8</v>
      </c>
    </row>
    <row r="14" spans="1:1">
      <c r="A14" s="2"/>
    </row>
    <row r="15" spans="1:1">
      <c r="A15" s="2" t="s">
        <v>9</v>
      </c>
    </row>
    <row r="16" spans="1:1">
      <c r="A16" s="2"/>
    </row>
    <row r="17" spans="1:1">
      <c r="A17" s="4" t="s">
        <v>10</v>
      </c>
    </row>
    <row r="18" spans="1:1">
      <c r="A18" s="2" t="s">
        <v>11</v>
      </c>
    </row>
    <row r="19" spans="1:1">
      <c r="A19" s="2" t="s">
        <v>12</v>
      </c>
    </row>
    <row r="20" spans="1:1">
      <c r="A20" s="3" t="s">
        <v>13</v>
      </c>
    </row>
    <row r="21" spans="1:1">
      <c r="A21" s="2"/>
    </row>
    <row r="22" spans="1:1">
      <c r="A22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3.7109375" customWidth="1"/>
    <col min="4" max="4" width="12.7109375" customWidth="1"/>
    <col min="5" max="5" width="13.7109375" customWidth="1"/>
    <col min="6" max="6" width="9.7109375" customWidth="1"/>
    <col min="7" max="7" width="8.7109375" customWidth="1"/>
    <col min="8" max="8" width="11.7109375" customWidth="1"/>
    <col min="9" max="9" width="16.7109375" customWidth="1"/>
    <col min="10" max="10" width="21.7109375" customWidth="1"/>
    <col min="11" max="11" width="46.7109375" customWidth="1"/>
  </cols>
  <sheetData>
    <row r="1" spans="1:1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spans="1:11">
      <c r="A2" s="6" t="s">
        <v>26</v>
      </c>
      <c r="B2" s="7" t="s">
        <v>27</v>
      </c>
      <c r="C2" s="7" t="s">
        <v>27</v>
      </c>
      <c r="D2" s="7" t="s">
        <v>27</v>
      </c>
      <c r="E2" s="7" t="s">
        <v>27</v>
      </c>
      <c r="F2" s="7" t="s">
        <v>27</v>
      </c>
      <c r="G2" s="7" t="s">
        <v>27</v>
      </c>
      <c r="H2" s="8">
        <v>0.08</v>
      </c>
      <c r="I2" s="7" t="s">
        <v>27</v>
      </c>
      <c r="J2" s="9" t="s">
        <v>28</v>
      </c>
      <c r="K2" s="6" t="s">
        <v>29</v>
      </c>
    </row>
    <row r="3" spans="1:11">
      <c r="A3" s="6" t="s">
        <v>30</v>
      </c>
      <c r="B3" s="7">
        <v>91</v>
      </c>
      <c r="C3" s="10">
        <f>B3/30.44</f>
        <v>3.0</v>
      </c>
      <c r="D3" s="7">
        <v>91</v>
      </c>
      <c r="E3" s="10">
        <f>D3/30.44</f>
        <v>3.0</v>
      </c>
      <c r="F3" s="10">
        <f>D3-B3</f>
        <v>0.0</v>
      </c>
      <c r="G3" s="11">
        <f>(D3-B3)/B3</f>
        <v>0.0</v>
      </c>
      <c r="H3" s="8">
        <v>0.05</v>
      </c>
      <c r="I3" s="10">
        <f>D3*(1-H3)</f>
        <v>86.5</v>
      </c>
      <c r="J3" s="12" t="s">
        <v>31</v>
      </c>
      <c r="K3" s="6" t="s">
        <v>32</v>
      </c>
    </row>
    <row r="4" spans="1:11">
      <c r="A4" s="6" t="s">
        <v>33</v>
      </c>
      <c r="B4" s="7">
        <v>92</v>
      </c>
      <c r="C4" s="10">
        <f>B4/30.44</f>
        <v>3.0</v>
      </c>
      <c r="D4" s="7">
        <v>92</v>
      </c>
      <c r="E4" s="10">
        <f>D4/30.44</f>
        <v>3.0</v>
      </c>
      <c r="F4" s="10">
        <f>D4-B4</f>
        <v>0.0</v>
      </c>
      <c r="G4" s="11">
        <f>(D4-B4)/B4</f>
        <v>0.0</v>
      </c>
      <c r="H4" s="8">
        <v>0.11</v>
      </c>
      <c r="I4" s="10">
        <f>D4*(1-H4)</f>
        <v>81.9</v>
      </c>
      <c r="J4" s="12" t="s">
        <v>31</v>
      </c>
      <c r="K4" s="6" t="s">
        <v>34</v>
      </c>
    </row>
    <row r="5" spans="1:11">
      <c r="A5" s="6" t="s">
        <v>35</v>
      </c>
      <c r="B5" s="7">
        <v>104</v>
      </c>
      <c r="C5" s="10">
        <f>B5/30.44</f>
        <v>3.4</v>
      </c>
      <c r="D5" s="7">
        <v>90</v>
      </c>
      <c r="E5" s="10">
        <f>D5/30.44</f>
        <v>3.0</v>
      </c>
      <c r="F5" s="10">
        <f>D5-B5</f>
        <v>-14.0</v>
      </c>
      <c r="G5" s="11">
        <f>(D5-B5)/B5</f>
        <v>-0.1346153846153846</v>
      </c>
      <c r="H5" s="8">
        <v>0.07000000000000001</v>
      </c>
      <c r="I5" s="10">
        <f>D5*(1-H5)</f>
        <v>83.7</v>
      </c>
      <c r="J5" s="13" t="s">
        <v>36</v>
      </c>
      <c r="K5" s="6" t="s">
        <v>37</v>
      </c>
    </row>
    <row r="6" spans="1:11">
      <c r="A6" s="6" t="s">
        <v>38</v>
      </c>
      <c r="B6" s="7">
        <v>92</v>
      </c>
      <c r="C6" s="10">
        <f>B6/30.44</f>
        <v>3.0</v>
      </c>
      <c r="D6" s="7">
        <v>92</v>
      </c>
      <c r="E6" s="10">
        <f>D6/30.44</f>
        <v>3.0</v>
      </c>
      <c r="F6" s="10">
        <f>D6-B6</f>
        <v>0.0</v>
      </c>
      <c r="G6" s="11">
        <f>(D6-B6)/B6</f>
        <v>0.0</v>
      </c>
      <c r="H6" s="8">
        <v>0.18</v>
      </c>
      <c r="I6" s="10">
        <f>D6*(1-H6)</f>
        <v>75.4</v>
      </c>
      <c r="J6" s="12" t="s">
        <v>31</v>
      </c>
      <c r="K6" s="6" t="s">
        <v>34</v>
      </c>
    </row>
    <row r="7" spans="1:11">
      <c r="A7" s="6" t="s">
        <v>39</v>
      </c>
      <c r="B7" s="7">
        <v>92</v>
      </c>
      <c r="C7" s="10">
        <f>B7/30.44</f>
        <v>3.0</v>
      </c>
      <c r="D7" s="7">
        <v>92</v>
      </c>
      <c r="E7" s="10">
        <f>D7/30.44</f>
        <v>3.0</v>
      </c>
      <c r="F7" s="10">
        <f>D7-B7</f>
        <v>0.0</v>
      </c>
      <c r="G7" s="11">
        <f>(D7-B7)/B7</f>
        <v>0.0</v>
      </c>
      <c r="H7" s="8">
        <v>0.06</v>
      </c>
      <c r="I7" s="10">
        <f>D7*(1-H7)</f>
        <v>86.5</v>
      </c>
      <c r="J7" s="12" t="s">
        <v>31</v>
      </c>
      <c r="K7" s="6" t="s">
        <v>34</v>
      </c>
    </row>
    <row r="8" spans="1:11">
      <c r="A8" s="6" t="s">
        <v>40</v>
      </c>
      <c r="B8" s="7">
        <v>90</v>
      </c>
      <c r="C8" s="10">
        <f>B8/30.44</f>
        <v>3.0</v>
      </c>
      <c r="D8" s="7">
        <v>90</v>
      </c>
      <c r="E8" s="10">
        <f>D8/30.44</f>
        <v>3.0</v>
      </c>
      <c r="F8" s="10">
        <f>D8-B8</f>
        <v>0.0</v>
      </c>
      <c r="G8" s="11">
        <f>(D8-B8)/B8</f>
        <v>0.0</v>
      </c>
      <c r="H8" s="8">
        <v>0.06</v>
      </c>
      <c r="I8" s="10">
        <f>D8*(1-H8)</f>
        <v>84.6</v>
      </c>
      <c r="J8" s="12" t="s">
        <v>31</v>
      </c>
      <c r="K8" s="6" t="s">
        <v>41</v>
      </c>
    </row>
    <row r="9" spans="1:11">
      <c r="A9" s="6" t="s">
        <v>42</v>
      </c>
      <c r="B9" s="7">
        <v>90</v>
      </c>
      <c r="C9" s="10">
        <f>B9/30.44</f>
        <v>3.0</v>
      </c>
      <c r="D9" s="7">
        <v>90</v>
      </c>
      <c r="E9" s="10">
        <f>D9/30.44</f>
        <v>3.0</v>
      </c>
      <c r="F9" s="10">
        <f>D9-B9</f>
        <v>0.0</v>
      </c>
      <c r="G9" s="11">
        <f>(D9-B9)/B9</f>
        <v>0.0</v>
      </c>
      <c r="H9" s="8">
        <v>0.13</v>
      </c>
      <c r="I9" s="10">
        <f>D9*(1-H9)</f>
        <v>78.3</v>
      </c>
      <c r="J9" s="12" t="s">
        <v>31</v>
      </c>
      <c r="K9" s="6" t="s">
        <v>34</v>
      </c>
    </row>
    <row r="10" spans="1:11">
      <c r="A10" s="6" t="s">
        <v>43</v>
      </c>
      <c r="B10" s="7">
        <v>200</v>
      </c>
      <c r="C10" s="10">
        <f>B10/30.44</f>
        <v>6.6</v>
      </c>
      <c r="D10" s="7">
        <v>200</v>
      </c>
      <c r="E10" s="10">
        <f>D10/30.44</f>
        <v>6.6</v>
      </c>
      <c r="F10" s="10">
        <f>D10-B10</f>
        <v>0.0</v>
      </c>
      <c r="G10" s="11">
        <f>(D10-B10)/B10</f>
        <v>0.0</v>
      </c>
      <c r="H10" s="8">
        <v>0.9</v>
      </c>
      <c r="I10" s="10">
        <f>D10*(1-H10)</f>
        <v>20.0</v>
      </c>
      <c r="J10" s="12" t="s">
        <v>31</v>
      </c>
      <c r="K10" s="6" t="s">
        <v>44</v>
      </c>
    </row>
    <row r="11" spans="1:11">
      <c r="A11" s="6" t="s">
        <v>45</v>
      </c>
      <c r="B11" s="7">
        <v>208</v>
      </c>
      <c r="C11" s="10">
        <f>B11/30.44</f>
        <v>6.8</v>
      </c>
      <c r="D11" s="7">
        <v>208</v>
      </c>
      <c r="E11" s="10">
        <f>D11/30.44</f>
        <v>6.8</v>
      </c>
      <c r="F11" s="10">
        <f>D11-B11</f>
        <v>0.0</v>
      </c>
      <c r="G11" s="11">
        <f>(D11-B11)/B11</f>
        <v>0.0</v>
      </c>
      <c r="H11" s="8">
        <v>0.9</v>
      </c>
      <c r="I11" s="10">
        <f>D11*(1-H11)</f>
        <v>20.8</v>
      </c>
      <c r="J11" s="12" t="s">
        <v>31</v>
      </c>
      <c r="K11" s="6" t="s">
        <v>46</v>
      </c>
    </row>
    <row r="12" spans="1:11">
      <c r="A12" s="6" t="s">
        <v>47</v>
      </c>
      <c r="B12" s="7" t="s">
        <v>27</v>
      </c>
      <c r="C12" s="7" t="s">
        <v>27</v>
      </c>
      <c r="D12" s="7" t="s">
        <v>27</v>
      </c>
      <c r="E12" s="7" t="s">
        <v>27</v>
      </c>
      <c r="F12" s="7" t="s">
        <v>27</v>
      </c>
      <c r="G12" s="7" t="s">
        <v>27</v>
      </c>
      <c r="H12" s="8">
        <v>0.46</v>
      </c>
      <c r="I12" s="7" t="s">
        <v>27</v>
      </c>
      <c r="J12" s="9" t="s">
        <v>28</v>
      </c>
      <c r="K12" s="6" t="s">
        <v>48</v>
      </c>
    </row>
    <row r="13" spans="1:11">
      <c r="A13" s="6" t="s">
        <v>49</v>
      </c>
      <c r="B13" s="7" t="s">
        <v>27</v>
      </c>
      <c r="C13" s="7" t="s">
        <v>27</v>
      </c>
      <c r="D13" s="7">
        <v>60</v>
      </c>
      <c r="E13" s="10">
        <f>D13/30.44</f>
        <v>2.0</v>
      </c>
      <c r="F13" s="7" t="s">
        <v>27</v>
      </c>
      <c r="G13" s="7" t="s">
        <v>27</v>
      </c>
      <c r="H13" s="8">
        <v>0.3</v>
      </c>
      <c r="I13" s="10">
        <f>D13*(1-H13)</f>
        <v>42.0</v>
      </c>
      <c r="J13" s="14" t="s">
        <v>50</v>
      </c>
      <c r="K13" s="6" t="s">
        <v>51</v>
      </c>
    </row>
    <row r="14" spans="1:11">
      <c r="A14" s="6" t="s">
        <v>52</v>
      </c>
      <c r="B14" s="7" t="s">
        <v>27</v>
      </c>
      <c r="C14" s="7" t="s">
        <v>27</v>
      </c>
      <c r="D14" s="7">
        <v>108</v>
      </c>
      <c r="E14" s="10">
        <f>D14/30.44</f>
        <v>3.5</v>
      </c>
      <c r="F14" s="7" t="s">
        <v>27</v>
      </c>
      <c r="G14" s="7" t="s">
        <v>27</v>
      </c>
      <c r="H14" s="8">
        <v>0.55</v>
      </c>
      <c r="I14" s="10">
        <f>D14*(1-H14)</f>
        <v>48.6</v>
      </c>
      <c r="J14" s="12" t="s">
        <v>31</v>
      </c>
      <c r="K14" s="6" t="s">
        <v>53</v>
      </c>
    </row>
    <row r="15" spans="1:11">
      <c r="A15" s="6" t="s">
        <v>54</v>
      </c>
      <c r="B15" s="7" t="s">
        <v>27</v>
      </c>
      <c r="C15" s="7" t="s">
        <v>27</v>
      </c>
      <c r="D15" s="7" t="s">
        <v>27</v>
      </c>
      <c r="E15" s="7" t="s">
        <v>27</v>
      </c>
      <c r="F15" s="7" t="s">
        <v>27</v>
      </c>
      <c r="G15" s="7" t="s">
        <v>27</v>
      </c>
      <c r="H15" s="8">
        <v>0.95</v>
      </c>
      <c r="I15" s="7" t="s">
        <v>27</v>
      </c>
      <c r="J15" s="9" t="s">
        <v>28</v>
      </c>
      <c r="K15" s="6" t="s">
        <v>55</v>
      </c>
    </row>
    <row r="16" spans="1:11">
      <c r="A16" s="6" t="s">
        <v>56</v>
      </c>
      <c r="B16" s="7" t="s">
        <v>27</v>
      </c>
      <c r="C16" s="7" t="s">
        <v>27</v>
      </c>
      <c r="D16" s="7" t="s">
        <v>27</v>
      </c>
      <c r="E16" s="7" t="s">
        <v>27</v>
      </c>
      <c r="F16" s="7" t="s">
        <v>27</v>
      </c>
      <c r="G16" s="7" t="s">
        <v>27</v>
      </c>
      <c r="H16" s="8">
        <v>0.2</v>
      </c>
      <c r="I16" s="7" t="s">
        <v>27</v>
      </c>
      <c r="J16" s="9" t="s">
        <v>28</v>
      </c>
      <c r="K16" s="6" t="s">
        <v>57</v>
      </c>
    </row>
    <row r="17" spans="1:11">
      <c r="A17" s="6" t="s">
        <v>58</v>
      </c>
      <c r="B17" s="7" t="s">
        <v>27</v>
      </c>
      <c r="C17" s="7" t="s">
        <v>27</v>
      </c>
      <c r="D17" s="7" t="s">
        <v>27</v>
      </c>
      <c r="E17" s="7" t="s">
        <v>27</v>
      </c>
      <c r="F17" s="7" t="s">
        <v>27</v>
      </c>
      <c r="G17" s="7" t="s">
        <v>27</v>
      </c>
      <c r="H17" s="8">
        <v>0.88</v>
      </c>
      <c r="I17" s="7" t="s">
        <v>27</v>
      </c>
      <c r="J17" s="9" t="s">
        <v>28</v>
      </c>
      <c r="K17" s="6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5" width="15.7109375" customWidth="1"/>
    <col min="6" max="6" width="14.7109375" customWidth="1"/>
    <col min="7" max="7" width="12.7109375" customWidth="1"/>
    <col min="8" max="8" width="14.7109375" customWidth="1"/>
    <col min="9" max="9" width="12.7109375" customWidth="1"/>
    <col min="10" max="10" width="21.7109375" customWidth="1"/>
    <col min="11" max="11" width="40.7109375" customWidth="1"/>
  </cols>
  <sheetData>
    <row r="1" spans="1:11">
      <c r="A1" s="5" t="s">
        <v>15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24</v>
      </c>
      <c r="K1" s="5" t="s">
        <v>25</v>
      </c>
    </row>
    <row r="2" spans="1:11">
      <c r="A2" s="6" t="s">
        <v>68</v>
      </c>
      <c r="B2" s="7">
        <v>7.7</v>
      </c>
      <c r="C2" s="7">
        <v>31.9</v>
      </c>
      <c r="D2" s="7">
        <v>150</v>
      </c>
      <c r="E2" s="7">
        <v>30</v>
      </c>
      <c r="F2" s="7">
        <v>18</v>
      </c>
      <c r="G2" s="8">
        <v>0.92</v>
      </c>
      <c r="H2" s="7">
        <v>4.5</v>
      </c>
      <c r="I2" s="7">
        <v>2</v>
      </c>
      <c r="J2" s="13" t="s">
        <v>36</v>
      </c>
      <c r="K2" s="6" t="s">
        <v>69</v>
      </c>
    </row>
    <row r="3" spans="1:11">
      <c r="A3" s="6" t="s">
        <v>70</v>
      </c>
      <c r="B3" s="7">
        <v>9</v>
      </c>
      <c r="C3" s="7">
        <v>14</v>
      </c>
      <c r="D3" s="7">
        <v>0</v>
      </c>
      <c r="E3" s="7">
        <v>42</v>
      </c>
      <c r="F3" s="7">
        <v>6</v>
      </c>
      <c r="G3" s="8">
        <v>0.9</v>
      </c>
      <c r="H3" s="7">
        <v>1.6</v>
      </c>
      <c r="I3" s="7">
        <v>1.4</v>
      </c>
      <c r="J3" s="13" t="s">
        <v>36</v>
      </c>
      <c r="K3" s="6" t="s">
        <v>71</v>
      </c>
    </row>
    <row r="4" spans="1:11">
      <c r="A4" s="6" t="s">
        <v>72</v>
      </c>
      <c r="B4" s="7">
        <v>6</v>
      </c>
      <c r="C4" s="7">
        <v>57</v>
      </c>
      <c r="D4" s="7">
        <v>127</v>
      </c>
      <c r="E4" s="7">
        <v>0</v>
      </c>
      <c r="F4" s="7">
        <v>0</v>
      </c>
      <c r="G4" s="8">
        <v>0.74</v>
      </c>
      <c r="H4" s="7">
        <v>0</v>
      </c>
      <c r="I4" s="7">
        <v>2.5</v>
      </c>
      <c r="J4" s="13" t="s">
        <v>36</v>
      </c>
      <c r="K4" s="6" t="s">
        <v>73</v>
      </c>
    </row>
    <row r="5" spans="1:11">
      <c r="A5" s="6" t="s">
        <v>74</v>
      </c>
      <c r="B5" s="7">
        <v>0.3</v>
      </c>
      <c r="C5" s="7">
        <v>4.7</v>
      </c>
      <c r="D5" s="7">
        <v>17</v>
      </c>
      <c r="E5" s="7">
        <v>1</v>
      </c>
      <c r="F5" s="7">
        <v>0</v>
      </c>
      <c r="G5" s="8">
        <v>0.95</v>
      </c>
      <c r="H5" s="7">
        <v>0.25</v>
      </c>
      <c r="I5" s="7">
        <v>1.5</v>
      </c>
      <c r="J5" s="13" t="s">
        <v>36</v>
      </c>
      <c r="K5" s="6" t="s">
        <v>75</v>
      </c>
    </row>
    <row r="6" spans="1:11">
      <c r="A6" s="6" t="s">
        <v>76</v>
      </c>
      <c r="B6" s="7">
        <v>4.2</v>
      </c>
      <c r="C6" s="7">
        <v>16</v>
      </c>
      <c r="D6" s="7">
        <v>21</v>
      </c>
      <c r="E6" s="7">
        <v>0</v>
      </c>
      <c r="F6" s="7">
        <v>7.5</v>
      </c>
      <c r="G6" s="8">
        <v>0.9</v>
      </c>
      <c r="H6" s="7">
        <v>0</v>
      </c>
      <c r="I6" s="7">
        <v>2</v>
      </c>
      <c r="J6" s="13" t="s">
        <v>36</v>
      </c>
      <c r="K6" s="6" t="s">
        <v>77</v>
      </c>
    </row>
    <row r="7" spans="1:11">
      <c r="A7" s="6" t="s">
        <v>78</v>
      </c>
      <c r="B7" s="7">
        <v>0</v>
      </c>
      <c r="C7" s="7">
        <v>10.5</v>
      </c>
      <c r="D7" s="7">
        <v>10</v>
      </c>
      <c r="E7" s="7">
        <v>0</v>
      </c>
      <c r="F7" s="7">
        <v>0</v>
      </c>
      <c r="G7" s="8">
        <v>0.92</v>
      </c>
      <c r="H7" s="7">
        <v>0</v>
      </c>
      <c r="I7" s="7">
        <v>0.95</v>
      </c>
      <c r="J7" s="14" t="s">
        <v>50</v>
      </c>
      <c r="K7" s="6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3" width="14.7109375" customWidth="1"/>
    <col min="4" max="4" width="18.7109375" customWidth="1"/>
    <col min="5" max="5" width="42.7109375" customWidth="1"/>
  </cols>
  <sheetData>
    <row r="1" spans="1:5">
      <c r="A1" s="5" t="s">
        <v>80</v>
      </c>
      <c r="B1" s="5" t="s">
        <v>81</v>
      </c>
      <c r="C1" s="5" t="s">
        <v>82</v>
      </c>
      <c r="D1" s="5" t="s">
        <v>83</v>
      </c>
      <c r="E1" s="5" t="s">
        <v>84</v>
      </c>
    </row>
    <row r="2" spans="1:5">
      <c r="A2" s="6" t="s">
        <v>85</v>
      </c>
      <c r="B2" s="6" t="s">
        <v>86</v>
      </c>
      <c r="C2" s="6" t="s">
        <v>87</v>
      </c>
      <c r="D2" s="6" t="s">
        <v>88</v>
      </c>
      <c r="E2" s="6" t="s">
        <v>89</v>
      </c>
    </row>
    <row r="3" spans="1:5">
      <c r="A3" s="6" t="s">
        <v>90</v>
      </c>
      <c r="B3" s="6" t="s">
        <v>91</v>
      </c>
      <c r="C3" s="6" t="s">
        <v>27</v>
      </c>
      <c r="D3" s="6" t="s">
        <v>92</v>
      </c>
      <c r="E3" s="6" t="s">
        <v>93</v>
      </c>
    </row>
    <row r="4" spans="1:5">
      <c r="A4" s="6" t="s">
        <v>94</v>
      </c>
      <c r="B4" s="6" t="s">
        <v>27</v>
      </c>
      <c r="C4" s="6" t="s">
        <v>27</v>
      </c>
      <c r="D4" s="6" t="s">
        <v>95</v>
      </c>
      <c r="E4" s="6" t="s">
        <v>96</v>
      </c>
    </row>
    <row r="5" spans="1:5">
      <c r="A5" s="6" t="s">
        <v>97</v>
      </c>
      <c r="B5" s="6" t="s">
        <v>98</v>
      </c>
      <c r="C5" s="6" t="s">
        <v>99</v>
      </c>
      <c r="D5" s="6" t="s">
        <v>100</v>
      </c>
      <c r="E5" s="6" t="s">
        <v>101</v>
      </c>
    </row>
    <row r="6" spans="1:5">
      <c r="A6" s="6" t="s">
        <v>102</v>
      </c>
      <c r="B6" s="6" t="s">
        <v>103</v>
      </c>
      <c r="C6" s="6" t="s">
        <v>104</v>
      </c>
      <c r="D6" s="6" t="s">
        <v>105</v>
      </c>
      <c r="E6" s="6" t="s">
        <v>106</v>
      </c>
    </row>
    <row r="7" spans="1:5">
      <c r="A7" s="6" t="s">
        <v>107</v>
      </c>
      <c r="B7" s="6" t="s">
        <v>108</v>
      </c>
      <c r="C7" s="6" t="s">
        <v>27</v>
      </c>
      <c r="D7" s="6" t="s">
        <v>109</v>
      </c>
      <c r="E7" s="6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42.7109375" customWidth="1"/>
    <col min="2" max="2" width="12.7109375" customWidth="1"/>
    <col min="3" max="3" width="52.7109375" customWidth="1"/>
  </cols>
  <sheetData>
    <row r="1" spans="1:3">
      <c r="A1" s="1" t="s">
        <v>111</v>
      </c>
    </row>
    <row r="3" spans="1:3">
      <c r="A3" s="5" t="s">
        <v>112</v>
      </c>
      <c r="B3" s="5" t="s">
        <v>113</v>
      </c>
      <c r="C3" s="5" t="s">
        <v>84</v>
      </c>
    </row>
    <row r="4" spans="1:3">
      <c r="A4" s="6" t="s">
        <v>114</v>
      </c>
      <c r="B4" s="7">
        <v>615</v>
      </c>
      <c r="C4" s="6" t="s">
        <v>115</v>
      </c>
    </row>
    <row r="5" spans="1:3">
      <c r="A5" s="6" t="s">
        <v>116</v>
      </c>
      <c r="B5" s="7">
        <v>472</v>
      </c>
      <c r="C5" s="6" t="s">
        <v>117</v>
      </c>
    </row>
    <row r="6" spans="1:3">
      <c r="A6" s="6" t="s">
        <v>118</v>
      </c>
      <c r="B6" s="7">
        <v>410</v>
      </c>
      <c r="C6" s="6" t="s">
        <v>119</v>
      </c>
    </row>
    <row r="7" spans="1:3">
      <c r="A7" s="6" t="s">
        <v>120</v>
      </c>
      <c r="B7" s="7">
        <v>120</v>
      </c>
      <c r="C7" s="6" t="s">
        <v>121</v>
      </c>
    </row>
    <row r="8" spans="1:3">
      <c r="A8" s="6" t="s">
        <v>122</v>
      </c>
      <c r="B8" s="7">
        <v>775</v>
      </c>
      <c r="C8" s="6" t="s">
        <v>123</v>
      </c>
    </row>
    <row r="10" spans="1:3">
      <c r="A10" s="15" t="s">
        <v>124</v>
      </c>
      <c r="B10" s="16">
        <f>B7/B4</f>
        <v>0.1951219512195122</v>
      </c>
      <c r="C10" t="s">
        <v>125</v>
      </c>
    </row>
    <row r="11" spans="1:3">
      <c r="A11" t="s">
        <v>126</v>
      </c>
      <c r="B11">
        <v>1200</v>
      </c>
    </row>
    <row r="12" spans="1:3">
      <c r="A12" t="s">
        <v>127</v>
      </c>
      <c r="B12">
        <v>495</v>
      </c>
    </row>
    <row r="13" spans="1:3">
      <c r="A13" s="15" t="s">
        <v>128</v>
      </c>
      <c r="B13" s="15">
        <f>B5+B12+B6</f>
        <v>1377</v>
      </c>
    </row>
    <row r="14" spans="1:3">
      <c r="A14" t="s">
        <v>129</v>
      </c>
      <c r="B14">
        <f>B11-B13</f>
        <v>-177</v>
      </c>
      <c r="C14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8.7109375" customWidth="1"/>
    <col min="3" max="3" width="52.7109375" customWidth="1"/>
  </cols>
  <sheetData>
    <row r="1" spans="1:3">
      <c r="A1" s="5" t="s">
        <v>131</v>
      </c>
      <c r="B1" s="5" t="s">
        <v>132</v>
      </c>
      <c r="C1" s="5" t="s">
        <v>84</v>
      </c>
    </row>
    <row r="2" spans="1:3">
      <c r="A2" s="6" t="s">
        <v>133</v>
      </c>
      <c r="B2" s="7">
        <v>15</v>
      </c>
      <c r="C2" s="6" t="s">
        <v>134</v>
      </c>
    </row>
    <row r="3" spans="1:3">
      <c r="A3" s="6" t="s">
        <v>135</v>
      </c>
      <c r="B3" s="7">
        <v>6.5</v>
      </c>
      <c r="C3" s="6" t="s">
        <v>136</v>
      </c>
    </row>
    <row r="4" spans="1:3">
      <c r="A4" s="6" t="s">
        <v>137</v>
      </c>
      <c r="B4" s="7">
        <v>4</v>
      </c>
      <c r="C4" s="6" t="s">
        <v>138</v>
      </c>
    </row>
    <row r="5" spans="1:3">
      <c r="A5" s="6" t="s">
        <v>139</v>
      </c>
      <c r="B5" s="7">
        <v>1.5</v>
      </c>
      <c r="C5" s="6" t="s">
        <v>140</v>
      </c>
    </row>
    <row r="6" spans="1:3">
      <c r="A6" s="6" t="s">
        <v>141</v>
      </c>
      <c r="B6" s="7">
        <v>0.2</v>
      </c>
      <c r="C6" s="6" t="s">
        <v>142</v>
      </c>
    </row>
    <row r="7" spans="1:3">
      <c r="A7" s="6" t="s">
        <v>143</v>
      </c>
      <c r="B7" s="7">
        <v>0</v>
      </c>
      <c r="C7" s="6" t="s">
        <v>144</v>
      </c>
    </row>
    <row r="8" spans="1:3">
      <c r="A8" s="6" t="s">
        <v>145</v>
      </c>
      <c r="B8" s="7">
        <v>4.8</v>
      </c>
      <c r="C8" s="6" t="s">
        <v>146</v>
      </c>
    </row>
    <row r="9" spans="1:3">
      <c r="A9" s="6" t="s">
        <v>147</v>
      </c>
      <c r="B9" s="7">
        <v>4.5</v>
      </c>
      <c r="C9" s="6">
        <f> 15 - bypass 5.7 - Hormuz 4.8 (derived)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13.7109375" customWidth="1"/>
    <col min="4" max="4" width="42.7109375" customWidth="1"/>
  </cols>
  <sheetData>
    <row r="1" spans="1:4">
      <c r="A1" s="5" t="s">
        <v>148</v>
      </c>
      <c r="B1" s="5" t="s">
        <v>149</v>
      </c>
      <c r="C1" s="5" t="s">
        <v>90</v>
      </c>
      <c r="D1" s="5" t="s">
        <v>150</v>
      </c>
    </row>
    <row r="2" spans="1:4">
      <c r="A2" s="7" t="s">
        <v>151</v>
      </c>
      <c r="B2" s="7">
        <v>4095</v>
      </c>
      <c r="C2" s="7">
        <v>415.4</v>
      </c>
      <c r="D2" s="6" t="s">
        <v>152</v>
      </c>
    </row>
    <row r="3" spans="1:4">
      <c r="A3" s="7" t="s">
        <v>153</v>
      </c>
      <c r="B3" s="7">
        <v>4035</v>
      </c>
      <c r="C3" s="7">
        <v>415.4</v>
      </c>
      <c r="D3" s="6" t="s">
        <v>154</v>
      </c>
    </row>
    <row r="4" spans="1:4">
      <c r="A4" s="7" t="s">
        <v>155</v>
      </c>
      <c r="B4" s="7">
        <v>3955</v>
      </c>
      <c r="C4" s="7">
        <v>413.3</v>
      </c>
      <c r="D4" s="6" t="s">
        <v>156</v>
      </c>
    </row>
    <row r="5" spans="1:4">
      <c r="A5" s="7" t="s">
        <v>157</v>
      </c>
      <c r="B5" s="7">
        <v>3800</v>
      </c>
      <c r="C5" s="7">
        <v>384.1</v>
      </c>
      <c r="D5" s="6" t="s">
        <v>158</v>
      </c>
    </row>
    <row r="6" spans="1:4">
      <c r="A6" s="7" t="s">
        <v>159</v>
      </c>
      <c r="B6" s="7">
        <v>3755</v>
      </c>
      <c r="C6" s="7">
        <v>374.2</v>
      </c>
      <c r="D6" s="6" t="s">
        <v>160</v>
      </c>
    </row>
    <row r="7" spans="1:4">
      <c r="A7" s="7" t="s">
        <v>161</v>
      </c>
      <c r="B7" s="7">
        <v>3680</v>
      </c>
      <c r="C7" s="7">
        <v>357.1</v>
      </c>
      <c r="D7" s="6" t="s">
        <v>162</v>
      </c>
    </row>
    <row r="8" spans="1:4">
      <c r="A8" s="7" t="s">
        <v>163</v>
      </c>
      <c r="B8" s="7">
        <v>3595</v>
      </c>
      <c r="C8" s="7">
        <v>331.2</v>
      </c>
      <c r="D8" s="6" t="s">
        <v>164</v>
      </c>
    </row>
    <row r="9" spans="1:4">
      <c r="A9" s="7" t="s">
        <v>165</v>
      </c>
      <c r="B9" s="7">
        <v>3555</v>
      </c>
      <c r="C9" s="7">
        <v>331.2</v>
      </c>
      <c r="D9" s="6" t="s">
        <v>166</v>
      </c>
    </row>
    <row r="11" spans="1:4">
      <c r="A11" s="2" t="s">
        <v>167</v>
      </c>
    </row>
    <row r="12" spans="1:4">
      <c r="A12" s="3" t="s">
        <v>168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4" width="38.7109375" customWidth="1"/>
  </cols>
  <sheetData>
    <row r="1" spans="1:4">
      <c r="A1" s="5"/>
      <c r="B1" s="5" t="s">
        <v>169</v>
      </c>
      <c r="C1" s="5" t="s">
        <v>170</v>
      </c>
      <c r="D1" s="5" t="s">
        <v>171</v>
      </c>
    </row>
    <row r="2" spans="1:4">
      <c r="A2" s="15" t="s">
        <v>172</v>
      </c>
      <c r="B2" s="6" t="s">
        <v>173</v>
      </c>
      <c r="C2" s="6" t="s">
        <v>174</v>
      </c>
      <c r="D2" s="6" t="s">
        <v>175</v>
      </c>
    </row>
    <row r="3" spans="1:4">
      <c r="A3" s="15" t="s">
        <v>176</v>
      </c>
      <c r="B3" s="6" t="s">
        <v>177</v>
      </c>
      <c r="C3" s="6" t="s">
        <v>178</v>
      </c>
      <c r="D3" s="6" t="s">
        <v>179</v>
      </c>
    </row>
    <row r="4" spans="1:4">
      <c r="A4" s="15" t="s">
        <v>180</v>
      </c>
      <c r="B4" s="6" t="s">
        <v>181</v>
      </c>
      <c r="C4" s="6" t="s">
        <v>182</v>
      </c>
      <c r="D4" s="6" t="s">
        <v>183</v>
      </c>
    </row>
    <row r="5" spans="1:4">
      <c r="A5" s="15" t="s">
        <v>184</v>
      </c>
      <c r="B5" s="6" t="s">
        <v>185</v>
      </c>
      <c r="C5" s="6" t="s">
        <v>186</v>
      </c>
      <c r="D5" s="6" t="s">
        <v>187</v>
      </c>
    </row>
    <row r="6" spans="1:4">
      <c r="A6" s="15" t="s">
        <v>188</v>
      </c>
      <c r="B6" s="6" t="s">
        <v>189</v>
      </c>
      <c r="C6" s="6" t="s">
        <v>190</v>
      </c>
      <c r="D6" s="6" t="s">
        <v>191</v>
      </c>
    </row>
    <row r="8" spans="1:4">
      <c r="A8" s="4" t="s">
        <v>192</v>
      </c>
    </row>
    <row r="9" spans="1:4">
      <c r="A9" s="2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cols>
    <col min="1" max="1" width="150.7109375" customWidth="1"/>
  </cols>
  <sheetData>
    <row r="1" spans="1:1">
      <c r="A1" s="1" t="s">
        <v>194</v>
      </c>
    </row>
    <row r="2" spans="1:1">
      <c r="A2" s="2"/>
    </row>
    <row r="3" spans="1:1">
      <c r="A3" s="2" t="s">
        <v>195</v>
      </c>
    </row>
    <row r="4" spans="1:1">
      <c r="A4" s="2" t="s">
        <v>196</v>
      </c>
    </row>
    <row r="5" spans="1:1">
      <c r="A5" s="2" t="s">
        <v>197</v>
      </c>
    </row>
    <row r="6" spans="1:1">
      <c r="A6" s="2" t="s">
        <v>198</v>
      </c>
    </row>
    <row r="7" spans="1:1">
      <c r="A7" s="2" t="s">
        <v>199</v>
      </c>
    </row>
    <row r="8" spans="1:1">
      <c r="A8" s="2" t="s">
        <v>200</v>
      </c>
    </row>
    <row r="9" spans="1:1">
      <c r="A9" s="2" t="s">
        <v>201</v>
      </c>
    </row>
    <row r="10" spans="1:1">
      <c r="A10" s="2" t="s">
        <v>202</v>
      </c>
    </row>
    <row r="11" spans="1:1">
      <c r="A11" s="2" t="s">
        <v>203</v>
      </c>
    </row>
    <row r="12" spans="1:1">
      <c r="A12" s="2" t="s">
        <v>204</v>
      </c>
    </row>
    <row r="13" spans="1:1">
      <c r="A13" s="2" t="s">
        <v>205</v>
      </c>
    </row>
    <row r="14" spans="1:1">
      <c r="A14" s="2" t="s">
        <v>206</v>
      </c>
    </row>
    <row r="15" spans="1:1">
      <c r="A15" s="2" t="s">
        <v>207</v>
      </c>
    </row>
    <row r="16" spans="1:1">
      <c r="A16" s="2"/>
    </row>
    <row r="17" spans="1:1">
      <c r="A17" s="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Consumer</vt:lpstr>
      <vt:lpstr>Producer</vt:lpstr>
      <vt:lpstr>Key Indicators</vt:lpstr>
      <vt:lpstr>Ledger</vt:lpstr>
      <vt:lpstr>Throughput</vt:lpstr>
      <vt:lpstr>Trajectory</vt:lpstr>
      <vt:lpstr>Scenarios</vt:lpstr>
      <vt:lpstr>Footnotes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2026-06-29T04:58:22Z</dcterms:created>
  <dcterms:modified xsi:type="dcterms:W3CDTF">2026-06-29T04:58:22Z</dcterms:modified>
</cp:coreProperties>
</file>