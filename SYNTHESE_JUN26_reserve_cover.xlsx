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 Jun26" sheetId="1" r:id="rId1"/>
  </sheets>
  <calcPr calcId="124519" fullCalcOnLoad="1"/>
</workbook>
</file>

<file path=xl/sharedStrings.xml><?xml version="1.0" encoding="utf-8"?>
<sst xmlns="http://schemas.openxmlformats.org/spreadsheetml/2006/main" count="142" uniqueCount="90">
  <si>
    <t>Synthèse Jun26 — Crude Reserve Cover by Country: Pre-war (Dec-2025) vs Today (26 Jun 2026)</t>
  </si>
  <si>
    <t>Strategic + commercial stocks on the IEA total-stock basis (days of net-import cover). War start 28 Feb 2026 · T = 118 days · Brent $74.43 · Hormuz ~4.8 mb/d (32% of prewar). Months = days / 30.44. Live formulas.</t>
  </si>
  <si>
    <t>RESERVE COVER — strategic + commercial, days &amp; months of net-import cover</t>
  </si>
  <si>
    <t>Country</t>
  </si>
  <si>
    <t>Dec-2025
(days)</t>
  </si>
  <si>
    <t>Dec-2025
(months)</t>
  </si>
  <si>
    <t>Today
(days)</t>
  </si>
  <si>
    <t>Today
(months)</t>
  </si>
  <si>
    <t>Δ days</t>
  </si>
  <si>
    <t>Δ %</t>
  </si>
  <si>
    <t>Hormuz
dep %</t>
  </si>
  <si>
    <t>Confidence</t>
  </si>
  <si>
    <t>Source &amp; as-of date</t>
  </si>
  <si>
    <t>USA</t>
  </si>
  <si>
    <t>-</t>
  </si>
  <si>
    <t>Absent</t>
  </si>
  <si>
    <t>EIA WPSR / IEA OMR May-26; net-exporter, cover metric undefined</t>
  </si>
  <si>
    <t>Germany</t>
  </si>
  <si>
    <t>Modelled-EST</t>
  </si>
  <si>
    <t>BMWE/EBV + IEA, 11 Mar 26 (baseline imputed ~110)</t>
  </si>
  <si>
    <t>France</t>
  </si>
  <si>
    <t>Inferred-triangulated</t>
  </si>
  <si>
    <t>IEA / Euronews / Eurostat, Apr 26</t>
  </si>
  <si>
    <t>UK</t>
  </si>
  <si>
    <t>GOV.UK / IEA / Al Jazeera, Mar 26</t>
  </si>
  <si>
    <t>Italy</t>
  </si>
  <si>
    <t>IEA Italy Oil Security / EU Dir 2009/119</t>
  </si>
  <si>
    <t>Spain</t>
  </si>
  <si>
    <t>CORES / IEA / Al Jazeera, Mar 26</t>
  </si>
  <si>
    <t>Netherlands</t>
  </si>
  <si>
    <t>IEA / COVA; net-exporter, cover metric undefined</t>
  </si>
  <si>
    <t>Poland</t>
  </si>
  <si>
    <t>IEA Poland Oil Security + model</t>
  </si>
  <si>
    <t>Japan</t>
  </si>
  <si>
    <t>S&amp;P / METI-ANRE, 9 May 26</t>
  </si>
  <si>
    <t>South Korea</t>
  </si>
  <si>
    <t>IEA tool / CSIS / Sedaily, May 26</t>
  </si>
  <si>
    <t>China</t>
  </si>
  <si>
    <t>Reuters-Kemp / EIA, 2026 (30d window; see note)</t>
  </si>
  <si>
    <t>India</t>
  </si>
  <si>
    <t>Min. Puri 76-80d, 8 Jun 26</t>
  </si>
  <si>
    <t>Thailand</t>
  </si>
  <si>
    <t>Thai Energy Ministry, 12 May 26 (hard on-ground ~56d)</t>
  </si>
  <si>
    <t>Philippines</t>
  </si>
  <si>
    <t>PH DOE OIMB weekly, 12 Jun 26</t>
  </si>
  <si>
    <t>Indonesia</t>
  </si>
  <si>
    <t>Jakarta Globe / ESDM, Jun 26 (capacity-capped ~25d)</t>
  </si>
  <si>
    <t>Vietnam</t>
  </si>
  <si>
    <t>VietnamNet D-basis, May 26 (model ~16d; divergence kept)</t>
  </si>
  <si>
    <t>Net-exporter rows (USA, Netherlands) carry '-': IEA net-import-cover denominator &lt;= 0, metric undefined. US strategic slice alone: SPR ~63d; crude ~129d; total petroleum ~259d vs gross crude imports.</t>
  </si>
  <si>
    <t>STRATEGIC vs COMMERCIAL — where the split is separable (the cover column above is the two combined)</t>
  </si>
  <si>
    <t>Series</t>
  </si>
  <si>
    <t>Pre-war (Dec-2025)</t>
  </si>
  <si>
    <t>Today (26 Jun 2026)</t>
  </si>
  <si>
    <t>Δ</t>
  </si>
  <si>
    <t>Basis / note</t>
  </si>
  <si>
    <t>US SPR (strategic, mb)</t>
  </si>
  <si>
    <t>Hard 31-Dec-25 anchor 411 -&gt; 331 (19 Jun). -80 mb (-19%); lowest since 1983; ~46% of IEA action drawn</t>
  </si>
  <si>
    <t>IEA coordinated release (mb)</t>
  </si>
  <si>
    <t>400 mb decided 11 Mar (US share 172); ~186 executed by 19 Jun; ~214 mb authorization unspent</t>
  </si>
  <si>
    <t>OECD total stocks (mb)</t>
  </si>
  <si>
    <t>Eve-of-war ~4,100 -&gt; ~3,560; -540 mb; monotonic decline, no build-week yet</t>
  </si>
  <si>
    <t>RESTOCKING OUTLOOK — assessment</t>
  </si>
  <si>
    <t>1. Which side depleted?</t>
  </si>
  <si>
    <t>Overwhelmingly CONSUMER + demand side, NOT a producer-conservation story. rho = producer build / consumer draw = 120 / 615 = 0.20 (band 0.15-0.26, &lt;&lt; 1). ~700-1,080 mb of blocked Gulf output was SHUT IN at the wellhead (no tankage), not stockpiled. Net depletion of consumable inventories is real and severe (OECD -540 mb; US SPR lowest since 1983).</t>
  </si>
  <si>
    <t>2. Restock from where?</t>
  </si>
  <si>
    <t>Only barrels reaching water outside the Hormuz constraint: Yanbu/Petroline Red Sea ~4.0 + Fujairah ~1.5 + recovering Hormuz transit ~4.8 + ~410 mb cumulative Atlantic substitution. Explicitly NOT OPEC spare (trapped behind the strait). Bypass already maxed ~5.7 of 6.5 mb/d; no near-term structural lift (UAE West-East doubling not online until 2027).</t>
  </si>
  <si>
    <t>3. Price vs prewar?</t>
  </si>
  <si>
    <t>Brent $74.43 ~= +$2-3 above the $72 eve-of-war level, +$9-10 above the $65 late-2025 anchor. War-risk premium has largely bled out post-ceasefire (residual modest, reversible). Flat Brent masks a freight+insurance landed-cost wedge and a stranded-Gulf-discount vs Atlantic-premium split during the war.</t>
  </si>
  <si>
    <t>4. Timeline?</t>
  </si>
  <si>
    <t>SLOW, back-loaded, option-like on the ceasefire. One-off June destocking (~35 mb stranded-tanker + ~21 mb Iranian) already cleared = not restock. Meaningful rebuild (SPR refill 331-&gt;411 ~= 80 mb + commercial) is an H2-2026-into-2027 story, contingent on the ceasefire holding past mid-Aug. Earliest stock inflection: Q4 2026. Ceasefire breakdown re-strands/re-saturates within ~1-2 weeks and resets the clock.</t>
  </si>
  <si>
    <t>Net restocking demand</t>
  </si>
  <si>
    <t>CONDITIONAL, sign-flipping (not a point): -166 mb (executed-draw basis) to +48 mb (full-400-mb-authorization basis). Either way it is SECOND-ORDER (|range| &lt;= 166 mb vs the ~1,200 mb war gap) -&gt; not a price-supportive overhang, consistent with Brent settling at $74 despite SPR at a 1983 low.</t>
  </si>
  <si>
    <t>Scenario tree (unweighted)</t>
  </si>
  <si>
    <t>S1 Reopen-fast: draw stops/reverses, Brent $60-68, SPR refill 3-4 yr. S2 Contested-grinding (base): slow net draw continues, Brent $70-85, no restock yet. S3 Reclose-hard: draw re-accelerates, Brent toward/above $120; US SPR hits ~150 mb floor ~5 Nov 26, OECD authorization ~11 Nov 26 -&gt; no reserve-side runway past Q1 2027.</t>
  </si>
  <si>
    <t>Inflection status</t>
  </si>
  <si>
    <t>NOT yet turned on the STOCK series — OECD and US SPR fall every print through 26 Jun. Price and freight HAVE inflected (Brent ~$120-&gt;$74, VLCC ~$470k-&gt;$180k). Only the stock trajectory has not.</t>
  </si>
  <si>
    <t>BASIS, CONFIDENCE &amp; CAVEATS</t>
  </si>
  <si>
    <t>Coverage basis</t>
  </si>
  <si>
    <t>Days of net-import cover on the IEA TOTAL-stock basis = strategic (public/agency) + commercial (industry) stocks COMBINED. That is what the metric measures; the strategic-only slice is broken out separately above only where published (US).</t>
  </si>
  <si>
    <t>Baseline = Dec-2025</t>
  </si>
  <si>
    <t>Country 'Dec-2025' cover figures are eve-of-war (late-Feb) values used as the pre-war proxy: strategic+commercial DAYS-of-cover drifted negligibly over Jan-Feb 2026. The one hard 31-Dec-2025 anchor is US SPR = 411 mb (above). Germany baseline imputed (~110d).</t>
  </si>
  <si>
    <t>Confidence ladder</t>
  </si>
  <si>
    <t>Verified-official &gt; Inferred-triangulated &gt; Modelled-EST &gt; Absent('-'). A model is at most one source class; '-' is never fabricated. Net-exporters and unpublished baselines stay '-' rather than invented.</t>
  </si>
  <si>
    <t>Disagreement kept</t>
  </si>
  <si>
    <t>Vietnam: published 40.3d (D-basis) diverges &gt;15% from the mass-balance model (~16d) - both shown, not averaged. Thailand 117d bundles strategic+commercial+in-transit+contracted; hard on-ground ~56d. China today=130 uses a 30-day window.</t>
  </si>
  <si>
    <t>VERIFICATION CAVEAT</t>
  </si>
  <si>
    <t>Primary IEA OMR / EIA weekly hosts were proxy-403-blocked at compile time, so many cells are WIRE-ATTRIBUTED (one tier below Verified). RE-PULL IEA/EIA directly before putting these decimals in front of the leadership team.</t>
  </si>
  <si>
    <t>Provenance</t>
  </si>
  <si>
    <t>Generated by build/build_synthese_jun26.py from the Hormuz-2026 workflow run wf_9642a98b-45e (52 agents). As-of 26 Jun 2026. Reproducible: re-run the script to rebuild this tab.</t>
  </si>
</sst>
</file>

<file path=xl/styles.xml><?xml version="1.0" encoding="utf-8"?>
<styleSheet xmlns="http://schemas.openxmlformats.org/spreadsheetml/2006/main">
  <numFmts count="4">
    <numFmt numFmtId="164" formatCode="0%"/>
    <numFmt numFmtId="165" formatCode="0.0"/>
    <numFmt numFmtId="166" formatCode="+0.0;-0.0;0.0"/>
    <numFmt numFmtId="167" formatCode="+0.0%;-0.0%;0.0%"/>
  </numFmts>
  <fonts count="11">
    <font>
      <sz val="11"/>
      <color theme="1"/>
      <name val="Calibri"/>
      <family val="2"/>
      <scheme val="minor"/>
    </font>
    <font>
      <b/>
      <sz val="15"/>
      <color rgb="FF0B1F2A"/>
      <name val="Calibri"/>
      <family val="2"/>
      <scheme val="minor"/>
    </font>
    <font>
      <i/>
      <sz val="10"/>
      <color rgb="FF3A55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5"/>
      <color rgb="FF9E2B2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2A"/>
        <bgColor indexed="64"/>
      </patternFill>
    </fill>
    <fill>
      <patternFill patternType="solid">
        <fgColor rgb="FFE6EAED"/>
        <bgColor indexed="64"/>
      </patternFill>
    </fill>
    <fill>
      <patternFill patternType="solid">
        <fgColor rgb="FFF6D9C7"/>
        <bgColor indexed="64"/>
      </patternFill>
    </fill>
    <fill>
      <patternFill patternType="solid">
        <fgColor rgb="FFFBEED2"/>
        <bgColor indexed="64"/>
      </patternFill>
    </fill>
  </fills>
  <borders count="3">
    <border>
      <left/>
      <right/>
      <top/>
      <bottom/>
      <diagonal/>
    </border>
    <border>
      <left style="thin">
        <color rgb="FF3A5566"/>
      </left>
      <right style="thin">
        <color rgb="FF3A5566"/>
      </right>
      <top style="thin">
        <color rgb="FF3A5566"/>
      </top>
      <bottom style="thin">
        <color rgb="FF3A5566"/>
      </bottom>
      <diagonal/>
    </border>
    <border>
      <left style="thin">
        <color rgb="FFD5DDE2"/>
      </left>
      <right style="thin">
        <color rgb="FFD5DDE2"/>
      </right>
      <top style="thin">
        <color rgb="FFD5DDE2"/>
      </top>
      <bottom style="thin">
        <color rgb="FFD5DD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166" fontId="5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2" xfId="0" applyFont="1" applyBorder="1" applyAlignment="1">
      <alignment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2" width="13.7109375" customWidth="1"/>
    <col min="3" max="5" width="12.7109375" customWidth="1"/>
    <col min="6" max="6" width="9.7109375" customWidth="1"/>
    <col min="7" max="7" width="8.7109375" customWidth="1"/>
    <col min="8" max="8" width="10.7109375" customWidth="1"/>
    <col min="9" max="9" width="19.7109375" customWidth="1"/>
    <col min="10" max="10" width="40.7109375" customWidth="1"/>
  </cols>
  <sheetData>
    <row r="1" spans="1:10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 t="s">
        <v>13</v>
      </c>
      <c r="B6" s="6" t="s">
        <v>14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7">
        <v>0.08</v>
      </c>
      <c r="I6" s="8" t="s">
        <v>15</v>
      </c>
      <c r="J6" s="5" t="s">
        <v>16</v>
      </c>
    </row>
    <row r="7" spans="1:10">
      <c r="A7" s="5" t="s">
        <v>17</v>
      </c>
      <c r="B7" s="6" t="s">
        <v>14</v>
      </c>
      <c r="C7" s="6" t="s">
        <v>14</v>
      </c>
      <c r="D7" s="6">
        <v>99.09999999999999</v>
      </c>
      <c r="E7" s="9">
        <f>D7/30.44</f>
        <v>3.3</v>
      </c>
      <c r="F7" s="6" t="s">
        <v>14</v>
      </c>
      <c r="G7" s="6" t="s">
        <v>14</v>
      </c>
      <c r="H7" s="7">
        <v>0.05</v>
      </c>
      <c r="I7" s="10" t="s">
        <v>18</v>
      </c>
      <c r="J7" s="5" t="s">
        <v>19</v>
      </c>
    </row>
    <row r="8" spans="1:10">
      <c r="A8" s="5" t="s">
        <v>20</v>
      </c>
      <c r="B8" s="6">
        <v>98</v>
      </c>
      <c r="C8" s="9">
        <f>B8/30.44</f>
        <v>3.2</v>
      </c>
      <c r="D8" s="6">
        <v>98</v>
      </c>
      <c r="E8" s="9">
        <f>D8/30.44</f>
        <v>3.2</v>
      </c>
      <c r="F8" s="11">
        <f>D8-B8</f>
        <v>0.0</v>
      </c>
      <c r="G8" s="12">
        <f>(D8-B8)/B8</f>
        <v>0.0</v>
      </c>
      <c r="H8" s="7">
        <v>0.11</v>
      </c>
      <c r="I8" s="13" t="s">
        <v>21</v>
      </c>
      <c r="J8" s="5" t="s">
        <v>22</v>
      </c>
    </row>
    <row r="9" spans="1:10">
      <c r="A9" s="5" t="s">
        <v>23</v>
      </c>
      <c r="B9" s="6">
        <v>104</v>
      </c>
      <c r="C9" s="9">
        <f>B9/30.44</f>
        <v>3.4</v>
      </c>
      <c r="D9" s="6">
        <v>90</v>
      </c>
      <c r="E9" s="9">
        <f>D9/30.44</f>
        <v>3.0</v>
      </c>
      <c r="F9" s="11">
        <f>D9-B9</f>
        <v>-14.0</v>
      </c>
      <c r="G9" s="12">
        <f>(D9-B9)/B9</f>
        <v>-0.1346153846153846</v>
      </c>
      <c r="H9" s="7">
        <v>0.07000000000000001</v>
      </c>
      <c r="I9" s="13" t="s">
        <v>21</v>
      </c>
      <c r="J9" s="5" t="s">
        <v>24</v>
      </c>
    </row>
    <row r="10" spans="1:10">
      <c r="A10" s="5" t="s">
        <v>25</v>
      </c>
      <c r="B10" s="6" t="s">
        <v>14</v>
      </c>
      <c r="C10" s="6" t="s">
        <v>14</v>
      </c>
      <c r="D10" s="6">
        <v>90</v>
      </c>
      <c r="E10" s="9">
        <f>D10/30.44</f>
        <v>3.0</v>
      </c>
      <c r="F10" s="6" t="s">
        <v>14</v>
      </c>
      <c r="G10" s="6" t="s">
        <v>14</v>
      </c>
      <c r="H10" s="7">
        <v>0.18</v>
      </c>
      <c r="I10" s="13" t="s">
        <v>21</v>
      </c>
      <c r="J10" s="5" t="s">
        <v>26</v>
      </c>
    </row>
    <row r="11" spans="1:10">
      <c r="A11" s="5" t="s">
        <v>27</v>
      </c>
      <c r="B11" s="6">
        <v>120</v>
      </c>
      <c r="C11" s="9">
        <f>B11/30.44</f>
        <v>3.9</v>
      </c>
      <c r="D11" s="6">
        <v>91</v>
      </c>
      <c r="E11" s="9">
        <f>D11/30.44</f>
        <v>3.0</v>
      </c>
      <c r="F11" s="11">
        <f>D11-B11</f>
        <v>-29.0</v>
      </c>
      <c r="G11" s="12">
        <f>(D11-B11)/B11</f>
        <v>-0.24166666666666667</v>
      </c>
      <c r="H11" s="7">
        <v>0.06</v>
      </c>
      <c r="I11" s="10" t="s">
        <v>18</v>
      </c>
      <c r="J11" s="5" t="s">
        <v>28</v>
      </c>
    </row>
    <row r="12" spans="1:10">
      <c r="A12" s="5" t="s">
        <v>29</v>
      </c>
      <c r="B12" s="6" t="s">
        <v>14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7">
        <v>0.06</v>
      </c>
      <c r="I12" s="8" t="s">
        <v>15</v>
      </c>
      <c r="J12" s="5" t="s">
        <v>30</v>
      </c>
    </row>
    <row r="13" spans="1:10">
      <c r="A13" s="5" t="s">
        <v>31</v>
      </c>
      <c r="B13" s="6" t="s">
        <v>14</v>
      </c>
      <c r="C13" s="6" t="s">
        <v>14</v>
      </c>
      <c r="D13" s="6">
        <v>86.5</v>
      </c>
      <c r="E13" s="9">
        <f>D13/30.44</f>
        <v>2.8</v>
      </c>
      <c r="F13" s="6" t="s">
        <v>14</v>
      </c>
      <c r="G13" s="6" t="s">
        <v>14</v>
      </c>
      <c r="H13" s="7">
        <v>0.13</v>
      </c>
      <c r="I13" s="10" t="s">
        <v>18</v>
      </c>
      <c r="J13" s="5" t="s">
        <v>32</v>
      </c>
    </row>
    <row r="14" spans="1:10">
      <c r="A14" s="5" t="s">
        <v>33</v>
      </c>
      <c r="B14" s="6">
        <v>200</v>
      </c>
      <c r="C14" s="9">
        <f>B14/30.44</f>
        <v>6.6</v>
      </c>
      <c r="D14" s="6">
        <v>205</v>
      </c>
      <c r="E14" s="9">
        <f>D14/30.44</f>
        <v>6.7</v>
      </c>
      <c r="F14" s="11">
        <f>D14-B14</f>
        <v>5.0</v>
      </c>
      <c r="G14" s="12">
        <f>(D14-B14)/B14</f>
        <v>0.025</v>
      </c>
      <c r="H14" s="7">
        <v>0.9</v>
      </c>
      <c r="I14" s="13" t="s">
        <v>21</v>
      </c>
      <c r="J14" s="5" t="s">
        <v>34</v>
      </c>
    </row>
    <row r="15" spans="1:10">
      <c r="A15" s="5" t="s">
        <v>35</v>
      </c>
      <c r="B15" s="6">
        <v>208</v>
      </c>
      <c r="C15" s="9">
        <f>B15/30.44</f>
        <v>6.8</v>
      </c>
      <c r="D15" s="6">
        <v>205</v>
      </c>
      <c r="E15" s="9">
        <f>D15/30.44</f>
        <v>6.7</v>
      </c>
      <c r="F15" s="11">
        <f>D15-B15</f>
        <v>-3.0</v>
      </c>
      <c r="G15" s="12">
        <f>(D15-B15)/B15</f>
        <v>-0.014423076923076924</v>
      </c>
      <c r="H15" s="7">
        <v>0.9</v>
      </c>
      <c r="I15" s="13" t="s">
        <v>21</v>
      </c>
      <c r="J15" s="5" t="s">
        <v>36</v>
      </c>
    </row>
    <row r="16" spans="1:10">
      <c r="A16" s="5" t="s">
        <v>37</v>
      </c>
      <c r="B16" s="6">
        <v>122.5</v>
      </c>
      <c r="C16" s="9">
        <f>B16/30.44</f>
        <v>4.0</v>
      </c>
      <c r="D16" s="6">
        <v>130</v>
      </c>
      <c r="E16" s="9">
        <f>D16/30.44</f>
        <v>4.3</v>
      </c>
      <c r="F16" s="11">
        <f>D16-B16</f>
        <v>7.5</v>
      </c>
      <c r="G16" s="12">
        <f>(D16-B16)/B16</f>
        <v>0.061224489795918366</v>
      </c>
      <c r="H16" s="7">
        <v>0.46</v>
      </c>
      <c r="I16" s="13" t="s">
        <v>21</v>
      </c>
      <c r="J16" s="5" t="s">
        <v>38</v>
      </c>
    </row>
    <row r="17" spans="1:10">
      <c r="A17" s="5" t="s">
        <v>39</v>
      </c>
      <c r="B17" s="6">
        <v>74</v>
      </c>
      <c r="C17" s="9">
        <f>B17/30.44</f>
        <v>2.4</v>
      </c>
      <c r="D17" s="6">
        <v>76</v>
      </c>
      <c r="E17" s="9">
        <f>D17/30.44</f>
        <v>2.5</v>
      </c>
      <c r="F17" s="11">
        <f>D17-B17</f>
        <v>2.0</v>
      </c>
      <c r="G17" s="12">
        <f>(D17-B17)/B17</f>
        <v>0.02702702702702703</v>
      </c>
      <c r="H17" s="7">
        <v>0.3</v>
      </c>
      <c r="I17" s="13" t="s">
        <v>21</v>
      </c>
      <c r="J17" s="5" t="s">
        <v>40</v>
      </c>
    </row>
    <row r="18" spans="1:10">
      <c r="A18" s="5" t="s">
        <v>41</v>
      </c>
      <c r="B18" s="6" t="s">
        <v>14</v>
      </c>
      <c r="C18" s="6" t="s">
        <v>14</v>
      </c>
      <c r="D18" s="6">
        <v>117</v>
      </c>
      <c r="E18" s="9">
        <f>D18/30.44</f>
        <v>3.8</v>
      </c>
      <c r="F18" s="6" t="s">
        <v>14</v>
      </c>
      <c r="G18" s="6" t="s">
        <v>14</v>
      </c>
      <c r="H18" s="7">
        <v>0.55</v>
      </c>
      <c r="I18" s="13" t="s">
        <v>21</v>
      </c>
      <c r="J18" s="5" t="s">
        <v>42</v>
      </c>
    </row>
    <row r="19" spans="1:10">
      <c r="A19" s="5" t="s">
        <v>43</v>
      </c>
      <c r="B19" s="6" t="s">
        <v>14</v>
      </c>
      <c r="C19" s="6" t="s">
        <v>14</v>
      </c>
      <c r="D19" s="6">
        <v>46.47</v>
      </c>
      <c r="E19" s="9">
        <f>D19/30.44</f>
        <v>1.5</v>
      </c>
      <c r="F19" s="6" t="s">
        <v>14</v>
      </c>
      <c r="G19" s="6" t="s">
        <v>14</v>
      </c>
      <c r="H19" s="7">
        <v>0.95</v>
      </c>
      <c r="I19" s="13" t="s">
        <v>21</v>
      </c>
      <c r="J19" s="5" t="s">
        <v>44</v>
      </c>
    </row>
    <row r="20" spans="1:10">
      <c r="A20" s="5" t="s">
        <v>45</v>
      </c>
      <c r="B20" s="6" t="s">
        <v>14</v>
      </c>
      <c r="C20" s="6" t="s">
        <v>14</v>
      </c>
      <c r="D20" s="6">
        <v>21</v>
      </c>
      <c r="E20" s="9">
        <f>D20/30.44</f>
        <v>0.7</v>
      </c>
      <c r="F20" s="6" t="s">
        <v>14</v>
      </c>
      <c r="G20" s="6" t="s">
        <v>14</v>
      </c>
      <c r="H20" s="7">
        <v>0.2</v>
      </c>
      <c r="I20" s="13" t="s">
        <v>21</v>
      </c>
      <c r="J20" s="5" t="s">
        <v>46</v>
      </c>
    </row>
    <row r="21" spans="1:10">
      <c r="A21" s="5" t="s">
        <v>47</v>
      </c>
      <c r="B21" s="6" t="s">
        <v>14</v>
      </c>
      <c r="C21" s="6" t="s">
        <v>14</v>
      </c>
      <c r="D21" s="6">
        <v>40.3</v>
      </c>
      <c r="E21" s="9">
        <f>D21/30.44</f>
        <v>1.3</v>
      </c>
      <c r="F21" s="6" t="s">
        <v>14</v>
      </c>
      <c r="G21" s="6" t="s">
        <v>14</v>
      </c>
      <c r="H21" s="7">
        <v>0.88</v>
      </c>
      <c r="I21" s="13" t="s">
        <v>21</v>
      </c>
      <c r="J21" s="5" t="s">
        <v>48</v>
      </c>
    </row>
    <row r="22" spans="1:10" ht="26" customHeight="1">
      <c r="A22" s="14" t="s">
        <v>49</v>
      </c>
    </row>
    <row r="24" spans="1:10">
      <c r="A24" s="3" t="s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4" t="s">
        <v>51</v>
      </c>
      <c r="B25" s="4" t="s">
        <v>52</v>
      </c>
      <c r="C25" s="4" t="s">
        <v>53</v>
      </c>
      <c r="D25" s="4" t="s">
        <v>54</v>
      </c>
      <c r="E25" s="4" t="s">
        <v>55</v>
      </c>
    </row>
    <row r="26" spans="1:10">
      <c r="A26" s="15" t="s">
        <v>56</v>
      </c>
      <c r="B26" s="6">
        <v>411</v>
      </c>
      <c r="C26" s="6">
        <v>331.2</v>
      </c>
      <c r="D26" s="11">
        <f>C26-B26</f>
        <v>-79.80000000000001</v>
      </c>
      <c r="E26" s="5" t="s">
        <v>57</v>
      </c>
    </row>
    <row r="27" spans="1:10">
      <c r="A27" s="15" t="s">
        <v>58</v>
      </c>
      <c r="B27" s="6">
        <v>0</v>
      </c>
      <c r="C27" s="6">
        <v>186</v>
      </c>
      <c r="D27" s="11">
        <f>C27-B27</f>
        <v>186</v>
      </c>
      <c r="E27" s="5" t="s">
        <v>59</v>
      </c>
    </row>
    <row r="28" spans="1:10">
      <c r="A28" s="15" t="s">
        <v>60</v>
      </c>
      <c r="B28" s="6">
        <v>4100</v>
      </c>
      <c r="C28" s="6">
        <v>3560</v>
      </c>
      <c r="D28" s="11">
        <f>C28-B28</f>
        <v>-540</v>
      </c>
      <c r="E28" s="5" t="s">
        <v>61</v>
      </c>
    </row>
    <row r="30" spans="1:10">
      <c r="A30" s="3" t="s">
        <v>62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ht="42" customHeight="1">
      <c r="A31" s="16" t="s">
        <v>63</v>
      </c>
      <c r="B31" s="16" t="s">
        <v>64</v>
      </c>
      <c r="C31" s="16"/>
      <c r="D31" s="16"/>
      <c r="E31" s="16"/>
      <c r="F31" s="16"/>
      <c r="G31" s="16"/>
      <c r="H31" s="16"/>
      <c r="I31" s="16"/>
      <c r="J31" s="16"/>
    </row>
    <row r="32" spans="1:10" ht="42" customHeight="1">
      <c r="A32" s="16" t="s">
        <v>65</v>
      </c>
      <c r="B32" s="14" t="s">
        <v>66</v>
      </c>
      <c r="C32" s="14"/>
      <c r="D32" s="14"/>
      <c r="E32" s="14"/>
      <c r="F32" s="14"/>
      <c r="G32" s="14"/>
      <c r="H32" s="14"/>
      <c r="I32" s="14"/>
      <c r="J32" s="14"/>
    </row>
    <row r="33" spans="1:10" ht="42" customHeight="1">
      <c r="A33" s="16" t="s">
        <v>67</v>
      </c>
      <c r="B33" s="14" t="s">
        <v>68</v>
      </c>
      <c r="C33" s="14"/>
      <c r="D33" s="14"/>
      <c r="E33" s="14"/>
      <c r="F33" s="14"/>
      <c r="G33" s="14"/>
      <c r="H33" s="14"/>
      <c r="I33" s="14"/>
      <c r="J33" s="14"/>
    </row>
    <row r="34" spans="1:10" ht="42" customHeight="1">
      <c r="A34" s="16" t="s">
        <v>69</v>
      </c>
      <c r="B34" s="14" t="s">
        <v>70</v>
      </c>
      <c r="C34" s="14"/>
      <c r="D34" s="14"/>
      <c r="E34" s="14"/>
      <c r="F34" s="14"/>
      <c r="G34" s="14"/>
      <c r="H34" s="14"/>
      <c r="I34" s="14"/>
      <c r="J34" s="14"/>
    </row>
    <row r="35" spans="1:10" ht="42" customHeight="1">
      <c r="A35" s="16" t="s">
        <v>71</v>
      </c>
      <c r="B35" s="16" t="s">
        <v>72</v>
      </c>
      <c r="C35" s="16"/>
      <c r="D35" s="16"/>
      <c r="E35" s="16"/>
      <c r="F35" s="16"/>
      <c r="G35" s="16"/>
      <c r="H35" s="16"/>
      <c r="I35" s="16"/>
      <c r="J35" s="16"/>
    </row>
    <row r="36" spans="1:10" ht="42" customHeight="1">
      <c r="A36" s="16" t="s">
        <v>73</v>
      </c>
      <c r="B36" s="14" t="s">
        <v>74</v>
      </c>
      <c r="C36" s="14"/>
      <c r="D36" s="14"/>
      <c r="E36" s="14"/>
      <c r="F36" s="14"/>
      <c r="G36" s="14"/>
      <c r="H36" s="14"/>
      <c r="I36" s="14"/>
      <c r="J36" s="14"/>
    </row>
    <row r="37" spans="1:10" ht="42" customHeight="1">
      <c r="A37" s="16" t="s">
        <v>75</v>
      </c>
      <c r="B37" s="17" t="s">
        <v>76</v>
      </c>
      <c r="C37" s="17"/>
      <c r="D37" s="17"/>
      <c r="E37" s="17"/>
      <c r="F37" s="17"/>
      <c r="G37" s="17"/>
      <c r="H37" s="17"/>
      <c r="I37" s="17"/>
      <c r="J37" s="17"/>
    </row>
    <row r="39" spans="1:10">
      <c r="A39" s="3" t="s">
        <v>77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ht="30" customHeight="1">
      <c r="A40" s="16" t="s">
        <v>78</v>
      </c>
      <c r="B40" s="14" t="s">
        <v>79</v>
      </c>
      <c r="C40" s="14"/>
      <c r="D40" s="14"/>
      <c r="E40" s="14"/>
      <c r="F40" s="14"/>
      <c r="G40" s="14"/>
      <c r="H40" s="14"/>
      <c r="I40" s="14"/>
      <c r="J40" s="14"/>
    </row>
    <row r="41" spans="1:10" ht="30" customHeight="1">
      <c r="A41" s="16" t="s">
        <v>80</v>
      </c>
      <c r="B41" s="14" t="s">
        <v>81</v>
      </c>
      <c r="C41" s="14"/>
      <c r="D41" s="14"/>
      <c r="E41" s="14"/>
      <c r="F41" s="14"/>
      <c r="G41" s="14"/>
      <c r="H41" s="14"/>
      <c r="I41" s="14"/>
      <c r="J41" s="14"/>
    </row>
    <row r="42" spans="1:10" ht="30" customHeight="1">
      <c r="A42" s="16" t="s">
        <v>82</v>
      </c>
      <c r="B42" s="14" t="s">
        <v>83</v>
      </c>
      <c r="C42" s="14"/>
      <c r="D42" s="14"/>
      <c r="E42" s="14"/>
      <c r="F42" s="14"/>
      <c r="G42" s="14"/>
      <c r="H42" s="14"/>
      <c r="I42" s="14"/>
      <c r="J42" s="14"/>
    </row>
    <row r="43" spans="1:10" ht="30" customHeight="1">
      <c r="A43" s="16" t="s">
        <v>84</v>
      </c>
      <c r="B43" s="14" t="s">
        <v>85</v>
      </c>
      <c r="C43" s="14"/>
      <c r="D43" s="14"/>
      <c r="E43" s="14"/>
      <c r="F43" s="14"/>
      <c r="G43" s="14"/>
      <c r="H43" s="14"/>
      <c r="I43" s="14"/>
      <c r="J43" s="14"/>
    </row>
    <row r="44" spans="1:10" ht="30" customHeight="1">
      <c r="A44" s="16" t="s">
        <v>86</v>
      </c>
      <c r="B44" s="17" t="s">
        <v>87</v>
      </c>
      <c r="C44" s="17"/>
      <c r="D44" s="17"/>
      <c r="E44" s="17"/>
      <c r="F44" s="17"/>
      <c r="G44" s="17"/>
      <c r="H44" s="17"/>
      <c r="I44" s="17"/>
      <c r="J44" s="17"/>
    </row>
    <row r="45" spans="1:10" ht="30" customHeight="1">
      <c r="A45" s="16" t="s">
        <v>88</v>
      </c>
      <c r="B45" s="14" t="s">
        <v>89</v>
      </c>
      <c r="C45" s="14"/>
      <c r="D45" s="14"/>
      <c r="E45" s="14"/>
      <c r="F45" s="14"/>
      <c r="G45" s="14"/>
      <c r="H45" s="14"/>
      <c r="I45" s="14"/>
      <c r="J45" s="14"/>
    </row>
  </sheetData>
  <mergeCells count="19">
    <mergeCell ref="A1:J1"/>
    <mergeCell ref="A2:J2"/>
    <mergeCell ref="A4:J4"/>
    <mergeCell ref="A24:J24"/>
    <mergeCell ref="A30:J30"/>
    <mergeCell ref="B31:J31"/>
    <mergeCell ref="B32:J32"/>
    <mergeCell ref="B33:J33"/>
    <mergeCell ref="B34:J34"/>
    <mergeCell ref="B35:J35"/>
    <mergeCell ref="B36:J36"/>
    <mergeCell ref="B37:J37"/>
    <mergeCell ref="A39:J39"/>
    <mergeCell ref="B40:J40"/>
    <mergeCell ref="B41:J41"/>
    <mergeCell ref="B42:J42"/>
    <mergeCell ref="B43:J43"/>
    <mergeCell ref="B44:J44"/>
    <mergeCell ref="B45:J4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Synthese Jun26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2026-06-28T19:29:44Z</dcterms:created>
  <dcterms:modified xsi:type="dcterms:W3CDTF">2026-06-28T19:29:44Z</dcterms:modified>
</cp:coreProperties>
</file>